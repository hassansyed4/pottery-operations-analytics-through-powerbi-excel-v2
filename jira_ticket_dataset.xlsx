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https://d.docs.live.net/6f0e8eb9a9433782/Desktop/All in 1/Resume's ^M Cover Letter's/Company Element Electronics (IT Intern)/Final Interview/JIRA Example by Excel/"/>
    </mc:Choice>
  </mc:AlternateContent>
  <xr:revisionPtr revIDLastSave="478" documentId="11_8505DCBFD75F9ECFEB3B98154B5DCE3A374D8482" xr6:coauthVersionLast="47" xr6:coauthVersionMax="47" xr10:uidLastSave="{92B03A8B-947A-416B-BF69-7F2C1D9BA973}"/>
  <bookViews>
    <workbookView xWindow="-120" yWindow="-120" windowWidth="29040" windowHeight="15720" activeTab="4" xr2:uid="{00000000-000D-0000-FFFF-FFFF00000000}"/>
  </bookViews>
  <sheets>
    <sheet name="Dashboard" sheetId="7" r:id="rId1"/>
    <sheet name="Jira_Tickets" sheetId="1" r:id="rId2"/>
    <sheet name="WorkDone" sheetId="6" r:id="rId3"/>
    <sheet name="Team Workload Imbalance" sheetId="5" r:id="rId4"/>
    <sheet name="SLA Breach Analysis" sheetId="4" r:id="rId5"/>
    <sheet name="Ticket Count by Category" sheetId="2" r:id="rId6"/>
    <sheet name="Average Resolution Time by Cate" sheetId="3" r:id="rId7"/>
  </sheets>
  <definedNames>
    <definedName name="Slicer_Assigned_Team">#N/A</definedName>
    <definedName name="Slicer_Category">#N/A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1" l="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alcChain>
</file>

<file path=xl/sharedStrings.xml><?xml version="1.0" encoding="utf-8"?>
<sst xmlns="http://schemas.openxmlformats.org/spreadsheetml/2006/main" count="711" uniqueCount="251">
  <si>
    <t>Ticket_ID</t>
  </si>
  <si>
    <t>Category</t>
  </si>
  <si>
    <t>Priority</t>
  </si>
  <si>
    <t>Status</t>
  </si>
  <si>
    <t>Created_Date</t>
  </si>
  <si>
    <t>Resolved_Date</t>
  </si>
  <si>
    <t>Assigned_Team</t>
  </si>
  <si>
    <t>Resolution_Time_Hours</t>
  </si>
  <si>
    <t>TKT-1001</t>
  </si>
  <si>
    <t>Software Bug</t>
  </si>
  <si>
    <t>Low</t>
  </si>
  <si>
    <t>Closed</t>
  </si>
  <si>
    <t>2026-03-10 00:00</t>
  </si>
  <si>
    <t>2026-03-12 10:00</t>
  </si>
  <si>
    <t>HR Systems</t>
  </si>
  <si>
    <t>TKT-1002</t>
  </si>
  <si>
    <t>Hardware Issue</t>
  </si>
  <si>
    <t>High</t>
  </si>
  <si>
    <t>Open</t>
  </si>
  <si>
    <t>2026-01-21 00:00</t>
  </si>
  <si>
    <t>IT Support</t>
  </si>
  <si>
    <t>TKT-1003</t>
  </si>
  <si>
    <t>2026-01-20 00:00</t>
  </si>
  <si>
    <t>2026-01-22 03:00</t>
  </si>
  <si>
    <t>App Team</t>
  </si>
  <si>
    <t>TKT-1004</t>
  </si>
  <si>
    <t>Medium</t>
  </si>
  <si>
    <t>2026-01-27 00:00</t>
  </si>
  <si>
    <t>TKT-1005</t>
  </si>
  <si>
    <t>2026-03-08 00:00</t>
  </si>
  <si>
    <t>2026-03-09 09:00</t>
  </si>
  <si>
    <t>TKT-1006</t>
  </si>
  <si>
    <t>Access Request</t>
  </si>
  <si>
    <t>2026-03-20 00:00</t>
  </si>
  <si>
    <t>TKT-1007</t>
  </si>
  <si>
    <t>2026-03-02 00:00</t>
  </si>
  <si>
    <t>2026-03-03 10:00</t>
  </si>
  <si>
    <t>TKT-1008</t>
  </si>
  <si>
    <t>Password Reset</t>
  </si>
  <si>
    <t>2026-03-03 06:00</t>
  </si>
  <si>
    <t>TKT-1009</t>
  </si>
  <si>
    <t>2026-01-25 00:00</t>
  </si>
  <si>
    <t>2026-01-26 03:00</t>
  </si>
  <si>
    <t>TKT-1010</t>
  </si>
  <si>
    <t>2026-03-26 00:00</t>
  </si>
  <si>
    <t>2026-03-27 04:00</t>
  </si>
  <si>
    <t>TKT-1011</t>
  </si>
  <si>
    <t>2026-03-22 00:00</t>
  </si>
  <si>
    <t>TKT-1012</t>
  </si>
  <si>
    <t>TKT-1013</t>
  </si>
  <si>
    <t>2026-02-23 00:00</t>
  </si>
  <si>
    <t>2026-02-24 00:00</t>
  </si>
  <si>
    <t>TKT-1014</t>
  </si>
  <si>
    <t>2026-02-14 00:00</t>
  </si>
  <si>
    <t>2026-02-16 11:00</t>
  </si>
  <si>
    <t>TKT-1015</t>
  </si>
  <si>
    <t>2026-01-05 00:00</t>
  </si>
  <si>
    <t>TKT-1016</t>
  </si>
  <si>
    <t>2026-01-28 00:00</t>
  </si>
  <si>
    <t>TKT-1017</t>
  </si>
  <si>
    <t>2026-02-13 00:00</t>
  </si>
  <si>
    <t>2026-02-13 17:00</t>
  </si>
  <si>
    <t>Network Team</t>
  </si>
  <si>
    <t>TKT-1018</t>
  </si>
  <si>
    <t>Network Issue</t>
  </si>
  <si>
    <t>2026-03-18 00:00</t>
  </si>
  <si>
    <t>TKT-1019</t>
  </si>
  <si>
    <t>2026-01-12 00:00</t>
  </si>
  <si>
    <t>TKT-1020</t>
  </si>
  <si>
    <t>2026-03-28 00:00</t>
  </si>
  <si>
    <t>2026-03-29 08:00</t>
  </si>
  <si>
    <t>TKT-1021</t>
  </si>
  <si>
    <t>2026-01-17 00:00</t>
  </si>
  <si>
    <t>TKT-1022</t>
  </si>
  <si>
    <t>2026-03-03 05:00</t>
  </si>
  <si>
    <t>TKT-1023</t>
  </si>
  <si>
    <t>2026-03-04 08:00</t>
  </si>
  <si>
    <t>TKT-1024</t>
  </si>
  <si>
    <t>2026-02-05 00:00</t>
  </si>
  <si>
    <t>2026-02-05 07:00</t>
  </si>
  <si>
    <t>TKT-1025</t>
  </si>
  <si>
    <t>2026-02-07 11:00</t>
  </si>
  <si>
    <t>TKT-1026</t>
  </si>
  <si>
    <t>2026-01-03 00:00</t>
  </si>
  <si>
    <t>TKT-1027</t>
  </si>
  <si>
    <t>2026-02-06 00:00</t>
  </si>
  <si>
    <t>TKT-1028</t>
  </si>
  <si>
    <t>2026-02-22 00:00</t>
  </si>
  <si>
    <t>TKT-1029</t>
  </si>
  <si>
    <t>TKT-1030</t>
  </si>
  <si>
    <t>2026-01-06 05:00</t>
  </si>
  <si>
    <t>TKT-1031</t>
  </si>
  <si>
    <t>2026-03-17 00:00</t>
  </si>
  <si>
    <t>2026-03-17 02:00</t>
  </si>
  <si>
    <t>TKT-1032</t>
  </si>
  <si>
    <t>2026-03-22 01:00</t>
  </si>
  <si>
    <t>TKT-1033</t>
  </si>
  <si>
    <t>2026-01-13 00:00</t>
  </si>
  <si>
    <t>2026-01-15 02:00</t>
  </si>
  <si>
    <t>TKT-1034</t>
  </si>
  <si>
    <t>TKT-1035</t>
  </si>
  <si>
    <t>2026-02-15 19:00</t>
  </si>
  <si>
    <t>TKT-1036</t>
  </si>
  <si>
    <t>2026-02-01 00:00</t>
  </si>
  <si>
    <t>2026-02-02 06:00</t>
  </si>
  <si>
    <t>TKT-1037</t>
  </si>
  <si>
    <t>2026-01-26 22:00</t>
  </si>
  <si>
    <t>TKT-1038</t>
  </si>
  <si>
    <t>2026-02-04 00:00</t>
  </si>
  <si>
    <t>2026-02-05 23:00</t>
  </si>
  <si>
    <t>TKT-1039</t>
  </si>
  <si>
    <t>2026-03-11 00:00</t>
  </si>
  <si>
    <t>2026-03-13 03:00</t>
  </si>
  <si>
    <t>TKT-1040</t>
  </si>
  <si>
    <t>2026-01-18 07:00</t>
  </si>
  <si>
    <t>TKT-1041</t>
  </si>
  <si>
    <t>2026-03-15 00:00</t>
  </si>
  <si>
    <t>2026-03-17 12:00</t>
  </si>
  <si>
    <t>TKT-1042</t>
  </si>
  <si>
    <t>2026-03-24 00:00</t>
  </si>
  <si>
    <t>2026-03-25 22:00</t>
  </si>
  <si>
    <t>TKT-1043</t>
  </si>
  <si>
    <t>2026-03-24 11:00</t>
  </si>
  <si>
    <t>TKT-1044</t>
  </si>
  <si>
    <t>2026-02-25 13:00</t>
  </si>
  <si>
    <t>TKT-1045</t>
  </si>
  <si>
    <t>2026-03-10 19:00</t>
  </si>
  <si>
    <t>TKT-1046</t>
  </si>
  <si>
    <t>2026-01-06 00:00</t>
  </si>
  <si>
    <t>2026-01-08 18:00</t>
  </si>
  <si>
    <t>TKT-1047</t>
  </si>
  <si>
    <t>2026-03-13 00:00</t>
  </si>
  <si>
    <t>2026-03-13 04:00</t>
  </si>
  <si>
    <t>TKT-1048</t>
  </si>
  <si>
    <t>2026-02-03 00:00</t>
  </si>
  <si>
    <t>TKT-1049</t>
  </si>
  <si>
    <t>TKT-1050</t>
  </si>
  <si>
    <t>2026-02-18 00:00</t>
  </si>
  <si>
    <t>TKT-1051</t>
  </si>
  <si>
    <t>2026-03-10 16:00</t>
  </si>
  <si>
    <t>TKT-1052</t>
  </si>
  <si>
    <t>2026-01-08 00:00</t>
  </si>
  <si>
    <t>2026-01-10 15:00</t>
  </si>
  <si>
    <t>TKT-1053</t>
  </si>
  <si>
    <t>2026-01-22 00:00</t>
  </si>
  <si>
    <t>TKT-1054</t>
  </si>
  <si>
    <t>2026-01-29 00:00</t>
  </si>
  <si>
    <t>2026-01-30 16:00</t>
  </si>
  <si>
    <t>TKT-1055</t>
  </si>
  <si>
    <t>2026-03-10 12:00</t>
  </si>
  <si>
    <t>TKT-1056</t>
  </si>
  <si>
    <t>2026-04-01 00:00</t>
  </si>
  <si>
    <t>2026-04-03 08:00</t>
  </si>
  <si>
    <t>TKT-1057</t>
  </si>
  <si>
    <t>2026-03-29 00:00</t>
  </si>
  <si>
    <t>TKT-1058</t>
  </si>
  <si>
    <t>2026-01-22 20:00</t>
  </si>
  <si>
    <t>TKT-1059</t>
  </si>
  <si>
    <t>TKT-1060</t>
  </si>
  <si>
    <t>2026-02-15 00:00</t>
  </si>
  <si>
    <t>2026-02-17 19:00</t>
  </si>
  <si>
    <t>TKT-1061</t>
  </si>
  <si>
    <t>2026-02-25 00:00</t>
  </si>
  <si>
    <t>2026-02-27 15:00</t>
  </si>
  <si>
    <t>TKT-1062</t>
  </si>
  <si>
    <t>2026-01-22 09:00</t>
  </si>
  <si>
    <t>TKT-1063</t>
  </si>
  <si>
    <t>2026-03-05 00:00</t>
  </si>
  <si>
    <t>TKT-1064</t>
  </si>
  <si>
    <t>TKT-1065</t>
  </si>
  <si>
    <t>TKT-1066</t>
  </si>
  <si>
    <t>2026-03-12 00:00</t>
  </si>
  <si>
    <t>TKT-1067</t>
  </si>
  <si>
    <t>TKT-1068</t>
  </si>
  <si>
    <t>2026-03-21 20:00</t>
  </si>
  <si>
    <t>TKT-1069</t>
  </si>
  <si>
    <t>2026-03-14 11:00</t>
  </si>
  <si>
    <t>TKT-1070</t>
  </si>
  <si>
    <t>2026-01-16 00:00</t>
  </si>
  <si>
    <t>TKT-1071</t>
  </si>
  <si>
    <t>2026-01-09 00:00</t>
  </si>
  <si>
    <t>TKT-1072</t>
  </si>
  <si>
    <t>2026-03-30 00:00</t>
  </si>
  <si>
    <t>2026-03-30 11:00</t>
  </si>
  <si>
    <t>TKT-1073</t>
  </si>
  <si>
    <t>2026-02-22 07:00</t>
  </si>
  <si>
    <t>TKT-1074</t>
  </si>
  <si>
    <t>2026-01-23 00:00</t>
  </si>
  <si>
    <t>TKT-1075</t>
  </si>
  <si>
    <t>TKT-1076</t>
  </si>
  <si>
    <t>2026-02-12 00:00</t>
  </si>
  <si>
    <t>2026-02-12 02:00</t>
  </si>
  <si>
    <t>TKT-1077</t>
  </si>
  <si>
    <t>2026-01-15 00:00</t>
  </si>
  <si>
    <t>2026-01-15 08:00</t>
  </si>
  <si>
    <t>TKT-1078</t>
  </si>
  <si>
    <t>TKT-1079</t>
  </si>
  <si>
    <t>2026-03-01 00:00</t>
  </si>
  <si>
    <t>2026-03-01 02:00</t>
  </si>
  <si>
    <t>TKT-1080</t>
  </si>
  <si>
    <t>TKT-1081</t>
  </si>
  <si>
    <t>TKT-1082</t>
  </si>
  <si>
    <t>TKT-1083</t>
  </si>
  <si>
    <t>2026-03-15 01:00</t>
  </si>
  <si>
    <t>TKT-1084</t>
  </si>
  <si>
    <t>2026-01-17 07:00</t>
  </si>
  <si>
    <t>TKT-1085</t>
  </si>
  <si>
    <t>2026-02-02 17:00</t>
  </si>
  <si>
    <t>TKT-1086</t>
  </si>
  <si>
    <t>TKT-1087</t>
  </si>
  <si>
    <t>2026-02-05 13:00</t>
  </si>
  <si>
    <t>TKT-1088</t>
  </si>
  <si>
    <t>TKT-1089</t>
  </si>
  <si>
    <t>2026-03-27 00:00</t>
  </si>
  <si>
    <t>2026-03-29 16:00</t>
  </si>
  <si>
    <t>TKT-1090</t>
  </si>
  <si>
    <t>TKT-1091</t>
  </si>
  <si>
    <t>2026-02-07 17:00</t>
  </si>
  <si>
    <t>TKT-1092</t>
  </si>
  <si>
    <t>2026-03-19 00:00</t>
  </si>
  <si>
    <t>2026-03-20 10:00</t>
  </si>
  <si>
    <t>TKT-1093</t>
  </si>
  <si>
    <t>2026-03-16 02:00</t>
  </si>
  <si>
    <t>TKT-1094</t>
  </si>
  <si>
    <t>2026-01-26 00:00</t>
  </si>
  <si>
    <t>2026-01-28 23:00</t>
  </si>
  <si>
    <t>TKT-1095</t>
  </si>
  <si>
    <t>2026-02-04 20:00</t>
  </si>
  <si>
    <t>TKT-1096</t>
  </si>
  <si>
    <t>2026-03-07 02:00</t>
  </si>
  <si>
    <t>TKT-1097</t>
  </si>
  <si>
    <t>TKT-1098</t>
  </si>
  <si>
    <t>2026-02-19 00:00</t>
  </si>
  <si>
    <t>TKT-1099</t>
  </si>
  <si>
    <t>2026-02-21 00:00</t>
  </si>
  <si>
    <t>2026-02-22 06:00</t>
  </si>
  <si>
    <t>TKT-1100</t>
  </si>
  <si>
    <t>2026-03-21 00:00</t>
  </si>
  <si>
    <t>SLA_Breach</t>
  </si>
  <si>
    <t>Row Labels</t>
  </si>
  <si>
    <t>Grand Total</t>
  </si>
  <si>
    <t>Count of Ticket_ID</t>
  </si>
  <si>
    <t>Average of Resolution_Time_Hours</t>
  </si>
  <si>
    <t>👉 “I identified high-volume ticket categories using pivot analysis.”</t>
  </si>
  <si>
    <t>👉 “I analyzed resolution efficiency by category and identified which issue types take the most time.”</t>
  </si>
  <si>
    <t>No</t>
  </si>
  <si>
    <t>Yes</t>
  </si>
  <si>
    <t>Column Labels</t>
  </si>
  <si>
    <t>👉 “I analyzed SLA breaches and found that a significant portion of tickets exceeded the resolution threshold.”
👉 “High-priority tickets showed notable SLA breaches, indicating potential gaps in urgent issue handling.”
Recommendation
👉 “We can improve SLA compliance by prioritizing high-severity tickets and optimizing response workflows.”</t>
  </si>
  <si>
    <t>Final Insight (Say This)
👉 “I analyzed ticket distribution across teams and found that IT Support handled the majority of requests.”
👉 “This indicates a potential workload imbalance that could impact response time and efficiency.”
Recommendation
👉 “Redistributing workload or automating repetitive tasks could improve team efficiency.”</t>
  </si>
  <si>
    <t>You now have:
✔ Dataset
✔ Cleaning
✔ Analysis
✔ Insights
✔ Recommendations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</si>
</sst>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Gill Sans MT"/>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pivotButton="1"/>
    <xf numFmtId="0" fontId="0" fillId="0" borderId="0" xfId="0" applyAlignment="1">
      <alignment horizontal="left"/>
    </xf>
    <xf numFmtId="0" fontId="0" fillId="0" borderId="0" xfId="0" applyAlignment="1">
      <alignment horizontal="center"/>
    </xf>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horizontal="center" vertical="top" wrapText="1"/>
    </xf>
    <xf numFmtId="0" fontId="0" fillId="0" borderId="0" xfId="0" applyAlignment="1">
      <alignment horizontal="center" vertical="top"/>
    </xf>
    <xf numFmtId="0" fontId="0" fillId="0" borderId="0" xfId="0" applyAlignment="1">
      <alignment horizontal="center" wrapText="1"/>
    </xf>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[jira_ticket_dataset.xlsx]Team Workload Imbalance!PivotTable4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Team Workload Imbalance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'Team Workload Imbalance'!$B$3</c:f>
              <c:strCache>
                <c:ptCount val="1"/>
                <c:pt idx="0">
                  <c:v>Count of Ticket_ID</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'Team Workload Imbalance'!$A$4:$A$8</c:f>
              <c:strCache>
                <c:ptCount val="4"/>
                <c:pt idx="0">
                  <c:v>App Team</c:v>
                </c:pt>
                <c:pt idx="1">
                  <c:v>HR Systems</c:v>
                </c:pt>
                <c:pt idx="2">
                  <c:v>IT Support</c:v>
                </c:pt>
                <c:pt idx="3">
                  <c:v>Network Team</c:v>
                </c:pt>
              </c:strCache>
            </c:strRef>
          </c:cat>
          <c:val>
            <c:numRef>
              <c:f>'Team Workload Imbalance'!$B$4:$B$8</c:f>
              <c:numCache>
                <c:formatCode>General</c:formatCode>
                <c:ptCount val="4"/>
                <c:pt idx="0">
                  <c:v>19</c:v>
                </c:pt>
                <c:pt idx="1">
                  <c:v>25</c:v>
                </c:pt>
                <c:pt idx="2">
                  <c:v>28</c:v>
                </c:pt>
                <c:pt idx="3">
                  <c:v>28</c:v>
                </c:pt>
              </c:numCache>
            </c:numRef>
          </c:val>
          <c:extLst>
            <c:ext xmlns:c16="http://schemas.microsoft.com/office/drawing/2014/chart" uri="{C3380CC4-5D6E-409C-BE32-E72D297353CC}">
              <c16:uniqueId val="{00000000-66D5-4FE4-8ECB-B5C9568E8845}"/>
            </c:ext>
          </c:extLst>
        </c:ser>
        <c:ser>
          <c:idx val="1"/>
          <c:order val="1"/>
          <c:tx>
            <c:strRef>
              <c:f>'Team Workload Imbalance'!$C$3</c:f>
              <c:strCache>
                <c:ptCount val="1"/>
                <c:pt idx="0">
                  <c:v>Average of Resolution_Time_Hours</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'Team Workload Imbalance'!$A$4:$A$8</c:f>
              <c:strCache>
                <c:ptCount val="4"/>
                <c:pt idx="0">
                  <c:v>App Team</c:v>
                </c:pt>
                <c:pt idx="1">
                  <c:v>HR Systems</c:v>
                </c:pt>
                <c:pt idx="2">
                  <c:v>IT Support</c:v>
                </c:pt>
                <c:pt idx="3">
                  <c:v>Network Team</c:v>
                </c:pt>
              </c:strCache>
            </c:strRef>
          </c:cat>
          <c:val>
            <c:numRef>
              <c:f>'Team Workload Imbalance'!$C$4:$C$8</c:f>
              <c:numCache>
                <c:formatCode>General</c:formatCode>
                <c:ptCount val="4"/>
                <c:pt idx="0">
                  <c:v>38.333333333333336</c:v>
                </c:pt>
                <c:pt idx="1">
                  <c:v>41.611111111111114</c:v>
                </c:pt>
                <c:pt idx="2">
                  <c:v>38.764705882352942</c:v>
                </c:pt>
                <c:pt idx="3">
                  <c:v>40.210526315789473</c:v>
                </c:pt>
              </c:numCache>
            </c:numRef>
          </c:val>
          <c:extLst>
            <c:ext xmlns:c16="http://schemas.microsoft.com/office/drawing/2014/chart" uri="{C3380CC4-5D6E-409C-BE32-E72D297353CC}">
              <c16:uniqueId val="{00000001-66D5-4FE4-8ECB-B5C9568E8845}"/>
            </c:ext>
          </c:extLst>
        </c:ser>
        <c:dLbls>
          <c:showLegendKey val="0"/>
          <c:showVal val="1"/>
          <c:showCatName val="0"/>
          <c:showSerName val="0"/>
          <c:showPercent val="0"/>
          <c:showBubbleSize val="0"/>
        </c:dLbls>
        <c:gapWidth val="150"/>
        <c:shape val="box"/>
        <c:axId val="997022351"/>
        <c:axId val="997023311"/>
        <c:axId val="0"/>
      </c:bar3DChart>
      <c:catAx>
        <c:axId val="9970223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023311"/>
        <c:crosses val="autoZero"/>
        <c:auto val="1"/>
        <c:lblAlgn val="ctr"/>
        <c:lblOffset val="100"/>
        <c:noMultiLvlLbl val="0"/>
      </c:catAx>
      <c:valAx>
        <c:axId val="997023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022351"/>
        <c:crosses val="autoZero"/>
        <c:crossBetween val="between"/>
      </c:valAx>
      <c:spPr>
        <a:noFill/>
        <a:ln>
          <a:noFill/>
        </a:ln>
        <a:effectLst/>
      </c:spPr>
    </c:plotArea>
    <c:legend>
      <c:legendPos val="r"/>
      <c:layout>
        <c:manualLayout>
          <c:xMode val="edge"/>
          <c:yMode val="edge"/>
          <c:x val="0.62265692657665528"/>
          <c:y val="0.76654171689123851"/>
          <c:w val="0.36834087975886881"/>
          <c:h val="0.211288829710616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[jira_ticket_dataset.xlsx]Ticket Count by Category!PivotTable1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Ticket Count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pivotFmt>
      <c:pivotFmt>
        <c:idx val="9"/>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pivotFmt>
      <c:pivotFmt>
        <c:idx val="10"/>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pivotFmt>
      <c:pivotFmt>
        <c:idx val="11"/>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pivotFmt>
      <c:pivotFmt>
        <c:idx val="12"/>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pivotFmt>
    </c:pivotFmts>
    <c:plotArea>
      <c:layout/>
      <c:pieChart>
        <c:varyColors val="1"/>
        <c:ser>
          <c:idx val="0"/>
          <c:order val="0"/>
          <c:tx>
            <c:strRef>
              <c:f>'Ticket Count by Category'!$B$1</c:f>
              <c:strCache>
                <c:ptCount val="1"/>
                <c:pt idx="0">
                  <c:v>Total</c:v>
                </c:pt>
              </c:strCache>
            </c:strRef>
          </c:tx>
          <c:dPt>
            <c:idx val="0"/>
            <c:bubble3D val="0"/>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extLst>
              <c:ext xmlns:c16="http://schemas.microsoft.com/office/drawing/2014/chart" uri="{C3380CC4-5D6E-409C-BE32-E72D297353CC}">
                <c16:uniqueId val="{00000001-1CC1-4717-B727-F0E3C9F5F87A}"/>
              </c:ext>
            </c:extLst>
          </c:dPt>
          <c:dPt>
            <c:idx val="1"/>
            <c:bubble3D val="0"/>
            <c:spPr>
              <a:gradFill rotWithShape="1">
                <a:gsLst>
                  <a:gs pos="0">
                    <a:schemeClr val="accent2">
                      <a:tint val="98000"/>
                      <a:lumMod val="110000"/>
                    </a:schemeClr>
                  </a:gs>
                  <a:gs pos="84000">
                    <a:schemeClr val="accent2">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extLst>
              <c:ext xmlns:c16="http://schemas.microsoft.com/office/drawing/2014/chart" uri="{C3380CC4-5D6E-409C-BE32-E72D297353CC}">
                <c16:uniqueId val="{00000003-1CC1-4717-B727-F0E3C9F5F87A}"/>
              </c:ext>
            </c:extLst>
          </c:dPt>
          <c:dPt>
            <c:idx val="2"/>
            <c:bubble3D val="0"/>
            <c:spPr>
              <a:gradFill rotWithShape="1">
                <a:gsLst>
                  <a:gs pos="0">
                    <a:schemeClr val="accent3">
                      <a:tint val="98000"/>
                      <a:lumMod val="110000"/>
                    </a:schemeClr>
                  </a:gs>
                  <a:gs pos="84000">
                    <a:schemeClr val="accent3">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extLst>
              <c:ext xmlns:c16="http://schemas.microsoft.com/office/drawing/2014/chart" uri="{C3380CC4-5D6E-409C-BE32-E72D297353CC}">
                <c16:uniqueId val="{00000005-1CC1-4717-B727-F0E3C9F5F87A}"/>
              </c:ext>
            </c:extLst>
          </c:dPt>
          <c:dPt>
            <c:idx val="3"/>
            <c:bubble3D val="0"/>
            <c:spPr>
              <a:gradFill rotWithShape="1">
                <a:gsLst>
                  <a:gs pos="0">
                    <a:schemeClr val="accent4">
                      <a:tint val="98000"/>
                      <a:lumMod val="110000"/>
                    </a:schemeClr>
                  </a:gs>
                  <a:gs pos="84000">
                    <a:schemeClr val="accent4">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extLst>
              <c:ext xmlns:c16="http://schemas.microsoft.com/office/drawing/2014/chart" uri="{C3380CC4-5D6E-409C-BE32-E72D297353CC}">
                <c16:uniqueId val="{00000007-1CC1-4717-B727-F0E3C9F5F87A}"/>
              </c:ext>
            </c:extLst>
          </c:dPt>
          <c:dPt>
            <c:idx val="4"/>
            <c:bubble3D val="0"/>
            <c:spPr>
              <a:gradFill rotWithShape="1">
                <a:gsLst>
                  <a:gs pos="0">
                    <a:schemeClr val="accent5">
                      <a:tint val="98000"/>
                      <a:lumMod val="110000"/>
                    </a:schemeClr>
                  </a:gs>
                  <a:gs pos="84000">
                    <a:schemeClr val="accent5">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extLst>
              <c:ext xmlns:c16="http://schemas.microsoft.com/office/drawing/2014/chart" uri="{C3380CC4-5D6E-409C-BE32-E72D297353CC}">
                <c16:uniqueId val="{00000009-1CC1-4717-B727-F0E3C9F5F87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'Ticket Count by Category'!$A$2:$A$7</c:f>
              <c:strCache>
                <c:ptCount val="5"/>
                <c:pt idx="0">
                  <c:v>Access Request</c:v>
                </c:pt>
                <c:pt idx="1">
                  <c:v>Hardware Issue</c:v>
                </c:pt>
                <c:pt idx="2">
                  <c:v>Network Issue</c:v>
                </c:pt>
                <c:pt idx="3">
                  <c:v>Password Reset</c:v>
                </c:pt>
                <c:pt idx="4">
                  <c:v>Software Bug</c:v>
                </c:pt>
              </c:strCache>
            </c:strRef>
          </c:cat>
          <c:val>
            <c:numRef>
              <c:f>'Ticket Count by Category'!$B$2:$B$7</c:f>
              <c:numCache>
                <c:formatCode>General</c:formatCode>
                <c:ptCount val="5"/>
                <c:pt idx="0">
                  <c:v>20</c:v>
                </c:pt>
                <c:pt idx="1">
                  <c:v>13</c:v>
                </c:pt>
                <c:pt idx="2">
                  <c:v>11</c:v>
                </c:pt>
                <c:pt idx="3">
                  <c:v>34</c:v>
                </c:pt>
                <c:pt idx="4">
                  <c:v>22</c:v>
                </c:pt>
              </c:numCache>
            </c:numRef>
          </c:val>
          <c:extLst>
            <c:ext xmlns:c16="http://schemas.microsoft.com/office/drawing/2014/chart" uri="{C3380CC4-5D6E-409C-BE32-E72D297353CC}">
              <c16:uniqueId val="{0000000A-1CC1-4717-B727-F0E3C9F5F87A}"/>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[jira_ticket_dataset.xlsx]Average Resolution Time by Cate!PivotTable2</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RESOLUTION TIME BY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'Average Resolution Time by Cate'!$B$3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'Average Resolution Time by Cate'!$A$4:$A$9</c:f>
              <c:strCache>
                <c:ptCount val="5"/>
                <c:pt idx="0">
                  <c:v>Access Request</c:v>
                </c:pt>
                <c:pt idx="1">
                  <c:v>Hardware Issue</c:v>
                </c:pt>
                <c:pt idx="2">
                  <c:v>Network Issue</c:v>
                </c:pt>
                <c:pt idx="3">
                  <c:v>Password Reset</c:v>
                </c:pt>
                <c:pt idx="4">
                  <c:v>Software Bug</c:v>
                </c:pt>
              </c:strCache>
            </c:strRef>
          </c:cat>
          <c:val>
            <c:numRef>
              <c:f>'Average Resolution Time by Cate'!$B$4:$B$9</c:f>
              <c:numCache>
                <c:formatCode>General</c:formatCode>
                <c:ptCount val="5"/>
                <c:pt idx="0">
                  <c:v>36.733333333333334</c:v>
                </c:pt>
                <c:pt idx="1">
                  <c:v>43.666666666666664</c:v>
                </c:pt>
                <c:pt idx="2">
                  <c:v>39</c:v>
                </c:pt>
                <c:pt idx="3">
                  <c:v>43.142857142857146</c:v>
                </c:pt>
                <c:pt idx="4">
                  <c:v>36.5</c:v>
                </c:pt>
              </c:numCache>
            </c:numRef>
          </c:val>
          <c:extLst>
            <c:ext xmlns:c16="http://schemas.microsoft.com/office/drawing/2014/chart" uri="{C3380CC4-5D6E-409C-BE32-E72D297353CC}">
              <c16:uniqueId val="{00000000-15F0-4455-9B9D-69084317760B}"/>
            </c:ext>
          </c:extLst>
        </c:ser>
        <c:dLbls>
          <c:showLegendKey val="0"/>
          <c:showVal val="1"/>
          <c:showCatName val="0"/>
          <c:showSerName val="0"/>
          <c:showPercent val="0"/>
          <c:showBubbleSize val="0"/>
        </c:dLbls>
        <c:gapWidth val="65"/>
        <c:shape val="box"/>
        <c:axId val="1236458783"/>
        <c:axId val="1236455423"/>
        <c:axId val="0"/>
      </c:bar3DChart>
      <c:catAx>
        <c:axId val="123645878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36455423"/>
        <c:crosses val="autoZero"/>
        <c:auto val="1"/>
        <c:lblAlgn val="ctr"/>
        <c:lblOffset val="100"/>
        <c:noMultiLvlLbl val="0"/>
      </c:catAx>
      <c:valAx>
        <c:axId val="1236455423"/>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3645878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[jira_ticket_dataset.xlsx]SLA Breach Analysis!PivotTable3</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SLA</a:t>
            </a:r>
            <a:r>
              <a:rPr lang="en-US" baseline="0"/>
              <a:t> Breach Analysis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106396971258956E-2"/>
          <c:y val="0.10250748176773106"/>
          <c:w val="0.79854232950000892"/>
          <c:h val="0.72783275706772821"/>
        </c:manualLayout>
      </c:layout>
      <c:barChart>
        <c:barDir val="col"/>
        <c:grouping val="stacked"/>
        <c:varyColors val="0"/>
        <c:ser>
          <c:idx val="0"/>
          <c:order val="0"/>
          <c:tx>
            <c:strRef>
              <c:f>'SLA Breach Analysis'!$B$3:$B$4</c:f>
              <c:strCache>
                <c:ptCount val="1"/>
                <c:pt idx="0">
                  <c:v>High</c:v>
                </c:pt>
              </c:strCache>
            </c:strRef>
          </c:tx>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'SLA Breach Analysis'!$A$5:$A$7</c:f>
              <c:strCache>
                <c:ptCount val="2"/>
                <c:pt idx="0">
                  <c:v>No</c:v>
                </c:pt>
                <c:pt idx="1">
                  <c:v>Yes</c:v>
                </c:pt>
              </c:strCache>
            </c:strRef>
          </c:cat>
          <c:val>
            <c:numRef>
              <c:f>'SLA Breach Analysis'!$B$5:$B$7</c:f>
              <c:numCache>
                <c:formatCode>General</c:formatCode>
                <c:ptCount val="2"/>
                <c:pt idx="0">
                  <c:v>13</c:v>
                </c:pt>
                <c:pt idx="1">
                  <c:v>15</c:v>
                </c:pt>
              </c:numCache>
            </c:numRef>
          </c:val>
          <c:extLst>
            <c:ext xmlns:c16="http://schemas.microsoft.com/office/drawing/2014/chart" uri="{C3380CC4-5D6E-409C-BE32-E72D297353CC}">
              <c16:uniqueId val="{00000000-7F8B-44C0-9281-2EA9F4C7FF24}"/>
            </c:ext>
          </c:extLst>
        </c:ser>
        <c:ser>
          <c:idx val="1"/>
          <c:order val="1"/>
          <c:tx>
            <c:strRef>
              <c:f>'SLA Breach Analysis'!$C$3:$C$4</c:f>
              <c:strCache>
                <c:ptCount val="1"/>
                <c:pt idx="0">
                  <c:v>Low</c:v>
                </c:pt>
              </c:strCache>
            </c:strRef>
          </c:tx>
          <c:spPr>
            <a:gradFill rotWithShape="1">
              <a:gsLst>
                <a:gs pos="0">
                  <a:schemeClr val="accent2">
                    <a:tint val="98000"/>
                    <a:lumMod val="110000"/>
                  </a:schemeClr>
                </a:gs>
                <a:gs pos="84000">
                  <a:schemeClr val="accent2">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'SLA Breach Analysis'!$A$5:$A$7</c:f>
              <c:strCache>
                <c:ptCount val="2"/>
                <c:pt idx="0">
                  <c:v>No</c:v>
                </c:pt>
                <c:pt idx="1">
                  <c:v>Yes</c:v>
                </c:pt>
              </c:strCache>
            </c:strRef>
          </c:cat>
          <c:val>
            <c:numRef>
              <c:f>'SLA Breach Analysis'!$C$5:$C$7</c:f>
              <c:numCache>
                <c:formatCode>General</c:formatCode>
                <c:ptCount val="2"/>
                <c:pt idx="0">
                  <c:v>16</c:v>
                </c:pt>
                <c:pt idx="1">
                  <c:v>16</c:v>
                </c:pt>
              </c:numCache>
            </c:numRef>
          </c:val>
          <c:extLst>
            <c:ext xmlns:c16="http://schemas.microsoft.com/office/drawing/2014/chart" uri="{C3380CC4-5D6E-409C-BE32-E72D297353CC}">
              <c16:uniqueId val="{00000000-3829-420D-9E15-2CA4FE5B595E}"/>
            </c:ext>
          </c:extLst>
        </c:ser>
        <c:ser>
          <c:idx val="2"/>
          <c:order val="2"/>
          <c:tx>
            <c:strRef>
              <c:f>'SLA Breach Analysis'!$D$3:$D$4</c:f>
              <c:strCache>
                <c:ptCount val="1"/>
                <c:pt idx="0">
                  <c:v>Medium</c:v>
                </c:pt>
              </c:strCache>
            </c:strRef>
          </c:tx>
          <c:spPr>
            <a:gradFill rotWithShape="1">
              <a:gsLst>
                <a:gs pos="0">
                  <a:schemeClr val="accent3">
                    <a:tint val="98000"/>
                    <a:lumMod val="110000"/>
                  </a:schemeClr>
                </a:gs>
                <a:gs pos="84000">
                  <a:schemeClr val="accent3">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'SLA Breach Analysis'!$A$5:$A$7</c:f>
              <c:strCache>
                <c:ptCount val="2"/>
                <c:pt idx="0">
                  <c:v>No</c:v>
                </c:pt>
                <c:pt idx="1">
                  <c:v>Yes</c:v>
                </c:pt>
              </c:strCache>
            </c:strRef>
          </c:cat>
          <c:val>
            <c:numRef>
              <c:f>'SLA Breach Analysis'!$D$5:$D$7</c:f>
              <c:numCache>
                <c:formatCode>General</c:formatCode>
                <c:ptCount val="2"/>
                <c:pt idx="0">
                  <c:v>23</c:v>
                </c:pt>
                <c:pt idx="1">
                  <c:v>17</c:v>
                </c:pt>
              </c:numCache>
            </c:numRef>
          </c:val>
          <c:extLst>
            <c:ext xmlns:c16="http://schemas.microsoft.com/office/drawing/2014/chart" uri="{C3380CC4-5D6E-409C-BE32-E72D297353CC}">
              <c16:uniqueId val="{00000001-3829-420D-9E15-2CA4FE5B595E}"/>
            </c:ext>
          </c:extLst>
        </c:ser>
        <c:dLbls>
          <c:dLblPos val="ctr"/>
          <c:showLegendKey val="0"/>
          <c:showVal val="1"/>
          <c:showCatName val="0"/>
          <c:showSerName val="0"/>
          <c:showPercent val="0"/>
          <c:showBubbleSize val="0"/>
        </c:dLbls>
        <c:gapWidth val="150"/>
        <c:overlap val="100"/>
        <c:axId val="1029702255"/>
        <c:axId val="1029702735"/>
      </c:barChart>
      <c:catAx>
        <c:axId val="102970225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9702735"/>
        <c:crosses val="autoZero"/>
        <c:auto val="1"/>
        <c:lblAlgn val="ctr"/>
        <c:lblOffset val="100"/>
        <c:noMultiLvlLbl val="0"/>
      </c:catAx>
      <c:valAx>
        <c:axId val="102970273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9702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[jira_ticket_dataset.xlsx]Team Workload Imbalance!PivotTable4</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'Team Workload Imbalance'!$B$3</c:f>
              <c:strCache>
                <c:ptCount val="1"/>
                <c:pt idx="0">
                  <c:v>Count of Ticket_ID</c:v>
                </c:pt>
              </c:strCache>
            </c:strRef>
          </c:tx>
          <c:spPr>
            <a:solidFill>
              <a:schemeClr val="accent1"/>
            </a:solidFill>
            <a:ln>
              <a:noFill/>
            </a:ln>
            <a:effectLst/>
            <a:sp3d/>
          </c:spPr>
          <c:invertIfNegative val="0"/>
          <c:cat>
            <c:strRef>
              <c:f>'Team Workload Imbalance'!$A$4:$A$8</c:f>
              <c:strCache>
                <c:ptCount val="4"/>
                <c:pt idx="0">
                  <c:v>App Team</c:v>
                </c:pt>
                <c:pt idx="1">
                  <c:v>HR Systems</c:v>
                </c:pt>
                <c:pt idx="2">
                  <c:v>IT Support</c:v>
                </c:pt>
                <c:pt idx="3">
                  <c:v>Network Team</c:v>
                </c:pt>
              </c:strCache>
            </c:strRef>
          </c:cat>
          <c:val>
            <c:numRef>
              <c:f>'Team Workload Imbalance'!$B$4:$B$8</c:f>
              <c:numCache>
                <c:formatCode>General</c:formatCode>
                <c:ptCount val="4"/>
                <c:pt idx="0">
                  <c:v>19</c:v>
                </c:pt>
                <c:pt idx="1">
                  <c:v>25</c:v>
                </c:pt>
                <c:pt idx="2">
                  <c:v>28</c:v>
                </c:pt>
                <c:pt idx="3">
                  <c:v>28</c:v>
                </c:pt>
              </c:numCache>
            </c:numRef>
          </c:val>
          <c:extLst>
            <c:ext xmlns:c16="http://schemas.microsoft.com/office/drawing/2014/chart" uri="{C3380CC4-5D6E-409C-BE32-E72D297353CC}">
              <c16:uniqueId val="{00000000-0BDF-4063-9432-1681DD6D8C5D}"/>
            </c:ext>
          </c:extLst>
        </c:ser>
        <c:ser>
          <c:idx val="1"/>
          <c:order val="1"/>
          <c:tx>
            <c:strRef>
              <c:f>'Team Workload Imbalance'!$C$3</c:f>
              <c:strCache>
                <c:ptCount val="1"/>
                <c:pt idx="0">
                  <c:v>Average of Resolution_Time_Hours</c:v>
                </c:pt>
              </c:strCache>
            </c:strRef>
          </c:tx>
          <c:spPr>
            <a:solidFill>
              <a:schemeClr val="accent2"/>
            </a:solidFill>
            <a:ln>
              <a:noFill/>
            </a:ln>
            <a:effectLst/>
            <a:sp3d/>
          </c:spPr>
          <c:invertIfNegative val="0"/>
          <c:cat>
            <c:strRef>
              <c:f>'Team Workload Imbalance'!$A$4:$A$8</c:f>
              <c:strCache>
                <c:ptCount val="4"/>
                <c:pt idx="0">
                  <c:v>App Team</c:v>
                </c:pt>
                <c:pt idx="1">
                  <c:v>HR Systems</c:v>
                </c:pt>
                <c:pt idx="2">
                  <c:v>IT Support</c:v>
                </c:pt>
                <c:pt idx="3">
                  <c:v>Network Team</c:v>
                </c:pt>
              </c:strCache>
            </c:strRef>
          </c:cat>
          <c:val>
            <c:numRef>
              <c:f>'Team Workload Imbalance'!$C$4:$C$8</c:f>
              <c:numCache>
                <c:formatCode>General</c:formatCode>
                <c:ptCount val="4"/>
                <c:pt idx="0">
                  <c:v>38.333333333333336</c:v>
                </c:pt>
                <c:pt idx="1">
                  <c:v>41.611111111111114</c:v>
                </c:pt>
                <c:pt idx="2">
                  <c:v>38.764705882352942</c:v>
                </c:pt>
                <c:pt idx="3">
                  <c:v>40.210526315789473</c:v>
                </c:pt>
              </c:numCache>
            </c:numRef>
          </c:val>
          <c:extLst>
            <c:ext xmlns:c16="http://schemas.microsoft.com/office/drawing/2014/chart" uri="{C3380CC4-5D6E-409C-BE32-E72D297353CC}">
              <c16:uniqueId val="{00000001-0BDF-4063-9432-1681DD6D8C5D}"/>
            </c:ext>
          </c:extLst>
        </c:ser>
        <c:dLbls>
          <c:showLegendKey val="0"/>
          <c:showVal val="0"/>
          <c:showCatName val="0"/>
          <c:showSerName val="0"/>
          <c:showPercent val="0"/>
          <c:showBubbleSize val="0"/>
        </c:dLbls>
        <c:gapWidth val="150"/>
        <c:shape val="box"/>
        <c:axId val="997022351"/>
        <c:axId val="997023311"/>
        <c:axId val="0"/>
      </c:bar3DChart>
      <c:catAx>
        <c:axId val="9970223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023311"/>
        <c:crosses val="autoZero"/>
        <c:auto val="1"/>
        <c:lblAlgn val="ctr"/>
        <c:lblOffset val="100"/>
        <c:noMultiLvlLbl val="0"/>
      </c:catAx>
      <c:valAx>
        <c:axId val="997023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022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[jira_ticket_dataset.xlsx]SLA Breach Analysis!PivotTable3</c:name>
    <c:fmtId val="0"/>
  </c:pivotSource>
  <c:chart>
    <c:autoTitleDeleted val="0"/>
    <c:pivotFmts>
      <c:pivotFmt>
        <c:idx val="0"/>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'SLA Breach Analysis'!$B$3:$B$4</c:f>
              <c:strCache>
                <c:ptCount val="1"/>
                <c:pt idx="0">
                  <c:v>High</c:v>
                </c:pt>
              </c:strCache>
            </c:strRef>
          </c:tx>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'SLA Breach Analysis'!$A$5:$A$7</c:f>
              <c:strCache>
                <c:ptCount val="2"/>
                <c:pt idx="0">
                  <c:v>No</c:v>
                </c:pt>
                <c:pt idx="1">
                  <c:v>Yes</c:v>
                </c:pt>
              </c:strCache>
            </c:strRef>
          </c:cat>
          <c:val>
            <c:numRef>
              <c:f>'SLA Breach Analysis'!$B$5:$B$7</c:f>
              <c:numCache>
                <c:formatCode>General</c:formatCode>
                <c:ptCount val="2"/>
                <c:pt idx="0">
                  <c:v>13</c:v>
                </c:pt>
                <c:pt idx="1">
                  <c:v>15</c:v>
                </c:pt>
              </c:numCache>
            </c:numRef>
          </c:val>
          <c:extLst>
            <c:ext xmlns:c16="http://schemas.microsoft.com/office/drawing/2014/chart" uri="{C3380CC4-5D6E-409C-BE32-E72D297353CC}">
              <c16:uniqueId val="{00000000-2308-48CF-8190-402401C50299}"/>
            </c:ext>
          </c:extLst>
        </c:ser>
        <c:ser>
          <c:idx val="1"/>
          <c:order val="1"/>
          <c:tx>
            <c:strRef>
              <c:f>'SLA Breach Analysis'!$C$3:$C$4</c:f>
              <c:strCache>
                <c:ptCount val="1"/>
                <c:pt idx="0">
                  <c:v>Low</c:v>
                </c:pt>
              </c:strCache>
            </c:strRef>
          </c:tx>
          <c:spPr>
            <a:gradFill rotWithShape="1">
              <a:gsLst>
                <a:gs pos="0">
                  <a:schemeClr val="accent2">
                    <a:tint val="98000"/>
                    <a:lumMod val="110000"/>
                  </a:schemeClr>
                </a:gs>
                <a:gs pos="84000">
                  <a:schemeClr val="accent2">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'SLA Breach Analysis'!$A$5:$A$7</c:f>
              <c:strCache>
                <c:ptCount val="2"/>
                <c:pt idx="0">
                  <c:v>No</c:v>
                </c:pt>
                <c:pt idx="1">
                  <c:v>Yes</c:v>
                </c:pt>
              </c:strCache>
            </c:strRef>
          </c:cat>
          <c:val>
            <c:numRef>
              <c:f>'SLA Breach Analysis'!$C$5:$C$7</c:f>
              <c:numCache>
                <c:formatCode>General</c:formatCode>
                <c:ptCount val="2"/>
                <c:pt idx="0">
                  <c:v>16</c:v>
                </c:pt>
                <c:pt idx="1">
                  <c:v>16</c:v>
                </c:pt>
              </c:numCache>
            </c:numRef>
          </c:val>
          <c:extLst>
            <c:ext xmlns:c16="http://schemas.microsoft.com/office/drawing/2014/chart" uri="{C3380CC4-5D6E-409C-BE32-E72D297353CC}">
              <c16:uniqueId val="{00000001-4039-4AAB-96C4-B926FD7FF262}"/>
            </c:ext>
          </c:extLst>
        </c:ser>
        <c:ser>
          <c:idx val="2"/>
          <c:order val="2"/>
          <c:tx>
            <c:strRef>
              <c:f>'SLA Breach Analysis'!$D$3:$D$4</c:f>
              <c:strCache>
                <c:ptCount val="1"/>
                <c:pt idx="0">
                  <c:v>Medium</c:v>
                </c:pt>
              </c:strCache>
            </c:strRef>
          </c:tx>
          <c:spPr>
            <a:gradFill rotWithShape="1">
              <a:gsLst>
                <a:gs pos="0">
                  <a:schemeClr val="accent3">
                    <a:tint val="98000"/>
                    <a:lumMod val="110000"/>
                  </a:schemeClr>
                </a:gs>
                <a:gs pos="84000">
                  <a:schemeClr val="accent3">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'SLA Breach Analysis'!$A$5:$A$7</c:f>
              <c:strCache>
                <c:ptCount val="2"/>
                <c:pt idx="0">
                  <c:v>No</c:v>
                </c:pt>
                <c:pt idx="1">
                  <c:v>Yes</c:v>
                </c:pt>
              </c:strCache>
            </c:strRef>
          </c:cat>
          <c:val>
            <c:numRef>
              <c:f>'SLA Breach Analysis'!$D$5:$D$7</c:f>
              <c:numCache>
                <c:formatCode>General</c:formatCode>
                <c:ptCount val="2"/>
                <c:pt idx="0">
                  <c:v>23</c:v>
                </c:pt>
                <c:pt idx="1">
                  <c:v>17</c:v>
                </c:pt>
              </c:numCache>
            </c:numRef>
          </c:val>
          <c:extLst>
            <c:ext xmlns:c16="http://schemas.microsoft.com/office/drawing/2014/chart" uri="{C3380CC4-5D6E-409C-BE32-E72D297353CC}">
              <c16:uniqueId val="{00000002-4039-4AAB-96C4-B926FD7FF262}"/>
            </c:ext>
          </c:extLst>
        </c:ser>
        <c:dLbls>
          <c:dLblPos val="ctr"/>
          <c:showLegendKey val="0"/>
          <c:showVal val="1"/>
          <c:showCatName val="0"/>
          <c:showSerName val="0"/>
          <c:showPercent val="0"/>
          <c:showBubbleSize val="0"/>
        </c:dLbls>
        <c:gapWidth val="150"/>
        <c:overlap val="100"/>
        <c:axId val="1029702255"/>
        <c:axId val="1029702735"/>
      </c:barChart>
      <c:catAx>
        <c:axId val="102970225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9702735"/>
        <c:crosses val="autoZero"/>
        <c:auto val="1"/>
        <c:lblAlgn val="ctr"/>
        <c:lblOffset val="100"/>
        <c:noMultiLvlLbl val="0"/>
      </c:catAx>
      <c:valAx>
        <c:axId val="102970273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9702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[jira_ticket_dataset.xlsx]Ticket Count by Category!PivotTable1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Ticket Count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pivotFmt>
    </c:pivotFmts>
    <c:plotArea>
      <c:layout/>
      <c:pieChart>
        <c:varyColors val="1"/>
        <c:ser>
          <c:idx val="0"/>
          <c:order val="0"/>
          <c:tx>
            <c:strRef>
              <c:f>'Ticket Count by Category'!$B$1</c:f>
              <c:strCache>
                <c:ptCount val="1"/>
                <c:pt idx="0">
                  <c:v>Total</c:v>
                </c:pt>
              </c:strCache>
            </c:strRef>
          </c:tx>
          <c:dPt>
            <c:idx val="0"/>
            <c:bubble3D val="0"/>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extLst>
              <c:ext xmlns:c16="http://schemas.microsoft.com/office/drawing/2014/chart" uri="{C3380CC4-5D6E-409C-BE32-E72D297353CC}">
                <c16:uniqueId val="{00000001-7DE5-4F0D-831C-9B70FDD4D09E}"/>
              </c:ext>
            </c:extLst>
          </c:dPt>
          <c:dPt>
            <c:idx val="1"/>
            <c:bubble3D val="0"/>
            <c:spPr>
              <a:gradFill rotWithShape="1">
                <a:gsLst>
                  <a:gs pos="0">
                    <a:schemeClr val="accent2">
                      <a:tint val="98000"/>
                      <a:lumMod val="110000"/>
                    </a:schemeClr>
                  </a:gs>
                  <a:gs pos="84000">
                    <a:schemeClr val="accent2">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extLst>
              <c:ext xmlns:c16="http://schemas.microsoft.com/office/drawing/2014/chart" uri="{C3380CC4-5D6E-409C-BE32-E72D297353CC}">
                <c16:uniqueId val="{00000003-7DE5-4F0D-831C-9B70FDD4D09E}"/>
              </c:ext>
            </c:extLst>
          </c:dPt>
          <c:dPt>
            <c:idx val="2"/>
            <c:bubble3D val="0"/>
            <c:spPr>
              <a:gradFill rotWithShape="1">
                <a:gsLst>
                  <a:gs pos="0">
                    <a:schemeClr val="accent3">
                      <a:tint val="98000"/>
                      <a:lumMod val="110000"/>
                    </a:schemeClr>
                  </a:gs>
                  <a:gs pos="84000">
                    <a:schemeClr val="accent3">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extLst>
              <c:ext xmlns:c16="http://schemas.microsoft.com/office/drawing/2014/chart" uri="{C3380CC4-5D6E-409C-BE32-E72D297353CC}">
                <c16:uniqueId val="{00000005-7DE5-4F0D-831C-9B70FDD4D09E}"/>
              </c:ext>
            </c:extLst>
          </c:dPt>
          <c:dPt>
            <c:idx val="3"/>
            <c:bubble3D val="0"/>
            <c:spPr>
              <a:gradFill rotWithShape="1">
                <a:gsLst>
                  <a:gs pos="0">
                    <a:schemeClr val="accent4">
                      <a:tint val="98000"/>
                      <a:lumMod val="110000"/>
                    </a:schemeClr>
                  </a:gs>
                  <a:gs pos="84000">
                    <a:schemeClr val="accent4">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extLst>
              <c:ext xmlns:c16="http://schemas.microsoft.com/office/drawing/2014/chart" uri="{C3380CC4-5D6E-409C-BE32-E72D297353CC}">
                <c16:uniqueId val="{00000007-7DE5-4F0D-831C-9B70FDD4D09E}"/>
              </c:ext>
            </c:extLst>
          </c:dPt>
          <c:dPt>
            <c:idx val="4"/>
            <c:bubble3D val="0"/>
            <c:spPr>
              <a:gradFill rotWithShape="1">
                <a:gsLst>
                  <a:gs pos="0">
                    <a:schemeClr val="accent5">
                      <a:tint val="98000"/>
                      <a:lumMod val="110000"/>
                    </a:schemeClr>
                  </a:gs>
                  <a:gs pos="84000">
                    <a:schemeClr val="accent5">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extLst>
              <c:ext xmlns:c16="http://schemas.microsoft.com/office/drawing/2014/chart" uri="{C3380CC4-5D6E-409C-BE32-E72D297353CC}">
                <c16:uniqueId val="{00000009-7DE5-4F0D-831C-9B70FDD4D09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'Ticket Count by Category'!$A$2:$A$7</c:f>
              <c:strCache>
                <c:ptCount val="5"/>
                <c:pt idx="0">
                  <c:v>Access Request</c:v>
                </c:pt>
                <c:pt idx="1">
                  <c:v>Hardware Issue</c:v>
                </c:pt>
                <c:pt idx="2">
                  <c:v>Network Issue</c:v>
                </c:pt>
                <c:pt idx="3">
                  <c:v>Password Reset</c:v>
                </c:pt>
                <c:pt idx="4">
                  <c:v>Software Bug</c:v>
                </c:pt>
              </c:strCache>
            </c:strRef>
          </c:cat>
          <c:val>
            <c:numRef>
              <c:f>'Ticket Count by Category'!$B$2:$B$7</c:f>
              <c:numCache>
                <c:formatCode>General</c:formatCode>
                <c:ptCount val="5"/>
                <c:pt idx="0">
                  <c:v>20</c:v>
                </c:pt>
                <c:pt idx="1">
                  <c:v>13</c:v>
                </c:pt>
                <c:pt idx="2">
                  <c:v>11</c:v>
                </c:pt>
                <c:pt idx="3">
                  <c:v>34</c:v>
                </c:pt>
                <c:pt idx="4">
                  <c:v>22</c:v>
                </c:pt>
              </c:numCache>
            </c:numRef>
          </c:val>
          <c:extLst>
            <c:ext xmlns:c16="http://schemas.microsoft.com/office/drawing/2014/chart" uri="{C3380CC4-5D6E-409C-BE32-E72D297353CC}">
              <c16:uniqueId val="{00000000-B96E-4235-A5E9-EC255D3D47B5}"/>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[jira_ticket_dataset.xlsx]Average Resolution Time by Cate!PivotTable2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RESOLUTION TIME BY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'Average Resolution Time by Cate'!$B$3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'Average Resolution Time by Cate'!$A$4:$A$9</c:f>
              <c:strCache>
                <c:ptCount val="5"/>
                <c:pt idx="0">
                  <c:v>Access Request</c:v>
                </c:pt>
                <c:pt idx="1">
                  <c:v>Hardware Issue</c:v>
                </c:pt>
                <c:pt idx="2">
                  <c:v>Network Issue</c:v>
                </c:pt>
                <c:pt idx="3">
                  <c:v>Password Reset</c:v>
                </c:pt>
                <c:pt idx="4">
                  <c:v>Software Bug</c:v>
                </c:pt>
              </c:strCache>
            </c:strRef>
          </c:cat>
          <c:val>
            <c:numRef>
              <c:f>'Average Resolution Time by Cate'!$B$4:$B$9</c:f>
              <c:numCache>
                <c:formatCode>General</c:formatCode>
                <c:ptCount val="5"/>
                <c:pt idx="0">
                  <c:v>36.733333333333334</c:v>
                </c:pt>
                <c:pt idx="1">
                  <c:v>43.666666666666664</c:v>
                </c:pt>
                <c:pt idx="2">
                  <c:v>39</c:v>
                </c:pt>
                <c:pt idx="3">
                  <c:v>43.142857142857146</c:v>
                </c:pt>
                <c:pt idx="4">
                  <c:v>36.5</c:v>
                </c:pt>
              </c:numCache>
            </c:numRef>
          </c:val>
          <c:extLst>
            <c:ext xmlns:c16="http://schemas.microsoft.com/office/drawing/2014/chart" uri="{C3380CC4-5D6E-409C-BE32-E72D297353CC}">
              <c16:uniqueId val="{00000000-1F39-4546-8546-6C1E9FFA724C}"/>
            </c:ext>
          </c:extLst>
        </c:ser>
        <c:dLbls>
          <c:showLegendKey val="0"/>
          <c:showVal val="1"/>
          <c:showCatName val="0"/>
          <c:showSerName val="0"/>
          <c:showPercent val="0"/>
          <c:showBubbleSize val="0"/>
        </c:dLbls>
        <c:gapWidth val="65"/>
        <c:shape val="box"/>
        <c:axId val="1236458783"/>
        <c:axId val="1236455423"/>
        <c:axId val="0"/>
      </c:bar3DChart>
      <c:catAx>
        <c:axId val="123645878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36455423"/>
        <c:crosses val="autoZero"/>
        <c:auto val="1"/>
        <c:lblAlgn val="ctr"/>
        <c:lblOffset val="100"/>
        <c:noMultiLvlLbl val="0"/>
      </c:catAx>
      <c:valAx>
        <c:axId val="1236455423"/>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3645878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132773</xdr:colOff>
      <xdr:row>0</xdr:row>
      <xdr:rowOff>136525</xdr:rowOff>
    </xdr:from>
    <xdr:to>
      <xdr:col>9</xdr:col>
      <xdr:colOff>342567</xdr:colOff>
      <xdr:row>16</xdr:row>
      <xdr:rowOff>33421</xdr:rowOff>
    </xdr:to>
    <xdr:graphicFrame macro="">
      <xdr:nvGraphicFramePr>
        <xdr:cNvPr id="2" name="Chart 1">
          <a:extLst>
            <a:ext uri="{FF2B5EF4-FFF2-40B4-BE49-F238E27FC236}">
              <a16:creationId xmlns:a16="http://schemas.microsoft.com/office/drawing/2014/main" id="{D7F2A11C-4573-4F9E-A9B4-BB06FF0F9D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137435</xdr:colOff>
      <xdr:row>17</xdr:row>
      <xdr:rowOff>18891</xdr:rowOff>
    </xdr:from>
    <xdr:to>
      <xdr:col>9</xdr:col>
      <xdr:colOff>392946</xdr:colOff>
      <xdr:row>31</xdr:row>
      <xdr:rowOff>184356</xdr:rowOff>
    </xdr:to>
    <xdr:graphicFrame macro="">
      <xdr:nvGraphicFramePr>
        <xdr:cNvPr id="4" name="Chart 3">
          <a:extLst>
            <a:ext uri="{FF2B5EF4-FFF2-40B4-BE49-F238E27FC236}">
              <a16:creationId xmlns:a16="http://schemas.microsoft.com/office/drawing/2014/main" id="{6B99B70E-F769-40B3-8514-18CFF4436E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518698</xdr:colOff>
      <xdr:row>17</xdr:row>
      <xdr:rowOff>33215</xdr:rowOff>
    </xdr:from>
    <xdr:to>
      <xdr:col>19</xdr:col>
      <xdr:colOff>43882</xdr:colOff>
      <xdr:row>32</xdr:row>
      <xdr:rowOff>10242</xdr:rowOff>
    </xdr:to>
    <xdr:graphicFrame macro="">
      <xdr:nvGraphicFramePr>
        <xdr:cNvPr id="5" name="Chart 4">
          <a:extLst>
            <a:ext uri="{FF2B5EF4-FFF2-40B4-BE49-F238E27FC236}">
              <a16:creationId xmlns:a16="http://schemas.microsoft.com/office/drawing/2014/main" id="{43987507-E9B6-481C-8A92-8D5E124D5E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512855</xdr:colOff>
      <xdr:row>0</xdr:row>
      <xdr:rowOff>126766</xdr:rowOff>
    </xdr:from>
    <xdr:to>
      <xdr:col>19</xdr:col>
      <xdr:colOff>33034</xdr:colOff>
      <xdr:row>16</xdr:row>
      <xdr:rowOff>41257</xdr:rowOff>
    </xdr:to>
    <xdr:graphicFrame macro="">
      <xdr:nvGraphicFramePr>
        <xdr:cNvPr id="6" name="Chart 5">
          <a:extLst>
            <a:ext uri="{FF2B5EF4-FFF2-40B4-BE49-F238E27FC236}">
              <a16:creationId xmlns:a16="http://schemas.microsoft.com/office/drawing/2014/main" id="{993279EB-BAD0-4F71-B832-40B67ECB38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37226</xdr:colOff>
      <xdr:row>4</xdr:row>
      <xdr:rowOff>123914</xdr:rowOff>
    </xdr:from>
    <xdr:to>
      <xdr:col>9</xdr:col>
      <xdr:colOff>85001</xdr:colOff>
      <xdr:row>11</xdr:row>
      <xdr:rowOff>49627</xdr:rowOff>
    </xdr:to>
    <mc:AlternateContent xmlns:mc="http://schemas.openxmlformats.org/markup-compatibility/2006" xmlns:a14="http://schemas.microsoft.com/office/drawing/2010/main">
      <mc:Choice Requires="a14">
        <xdr:graphicFrame macro="">
          <xdr:nvGraphicFramePr>
            <xdr:cNvPr id="7" name="Assigned_Teams">
              <a:extLst>
                <a:ext uri="{FF2B5EF4-FFF2-40B4-BE49-F238E27FC236}">
                  <a16:creationId xmlns:a16="http://schemas.microsoft.com/office/drawing/2014/main" id="{3560E7EE-7A8F-8957-A8A0-C5A9DDDDDCF3}"/>
                </a:ext>
              </a:extLst>
            </xdr:cNvPr>
            <xdr:cNvGraphicFramePr/>
          </xdr:nvGraphicFramePr>
          <xdr:xfrm>
            <a:off x="0" y="0"/>
            <a:ext cx="0" cy="0"/>
          </xdr:xfrm>
          <a:graphic>
            <a:graphicData uri="http://schemas.microsoft.com/office/drawing/2010/slicer">
              <sle:slicer xmlns:sle="http://schemas.microsoft.com/office/drawing/2010/slicer" name="Assigned_Teams"/>
            </a:graphicData>
          </a:graphic>
        </xdr:graphicFrame>
      </mc:Choice>
      <mc:Fallback xmlns="">
        <xdr:sp macro="" textlink="">
          <xdr:nvSpPr>
            <xdr:cNvPr id="0" name=""/>
            <xdr:cNvSpPr>
              <a:spLocks noTextEdit="1"/>
            </xdr:cNvSpPr>
          </xdr:nvSpPr>
          <xdr:spPr>
            <a:xfrm>
              <a:off x="4141635" y="989823"/>
              <a:ext cx="2099980" cy="14410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561975</xdr:colOff>
      <xdr:row>22</xdr:row>
      <xdr:rowOff>162792</xdr:rowOff>
    </xdr:from>
    <xdr:to>
      <xdr:col>9</xdr:col>
      <xdr:colOff>77932</xdr:colOff>
      <xdr:row>30</xdr:row>
      <xdr:rowOff>95252</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508E79FE-2136-C3E1-BAD0-491AEEBD8C0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666384" y="4925292"/>
              <a:ext cx="1568162" cy="16642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57150</xdr:colOff>
      <xdr:row>10</xdr:row>
      <xdr:rowOff>147637</xdr:rowOff>
    </xdr:from>
    <xdr:to>
      <xdr:col>11</xdr:col>
      <xdr:colOff>361950</xdr:colOff>
      <xdr:row>19</xdr:row>
      <xdr:rowOff>80962</xdr:rowOff>
    </xdr:to>
    <xdr:graphicFrame macro="">
      <xdr:nvGraphicFramePr>
        <xdr:cNvPr id="2" name="Chart 1">
          <a:extLst>
            <a:ext uri="{FF2B5EF4-FFF2-40B4-BE49-F238E27FC236}">
              <a16:creationId xmlns:a16="http://schemas.microsoft.com/office/drawing/2014/main" id="{2DDA188C-1AF9-B649-8D74-C15C14C8A8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400050</xdr:colOff>
      <xdr:row>4</xdr:row>
      <xdr:rowOff>195262</xdr:rowOff>
    </xdr:from>
    <xdr:to>
      <xdr:col>15</xdr:col>
      <xdr:colOff>619125</xdr:colOff>
      <xdr:row>15</xdr:row>
      <xdr:rowOff>61912</xdr:rowOff>
    </xdr:to>
    <xdr:graphicFrame macro="">
      <xdr:nvGraphicFramePr>
        <xdr:cNvPr id="2" name="Chart 1">
          <a:extLst>
            <a:ext uri="{FF2B5EF4-FFF2-40B4-BE49-F238E27FC236}">
              <a16:creationId xmlns:a16="http://schemas.microsoft.com/office/drawing/2014/main" id="{418B1A16-9F4A-CD5E-C8BD-76C555323D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185737</xdr:colOff>
      <xdr:row>10</xdr:row>
      <xdr:rowOff>147637</xdr:rowOff>
    </xdr:from>
    <xdr:to>
      <xdr:col>10</xdr:col>
      <xdr:colOff>490537</xdr:colOff>
      <xdr:row>25</xdr:row>
      <xdr:rowOff>33337</xdr:rowOff>
    </xdr:to>
    <xdr:graphicFrame macro="">
      <xdr:nvGraphicFramePr>
        <xdr:cNvPr id="2" name="Chart 1">
          <a:extLst>
            <a:ext uri="{FF2B5EF4-FFF2-40B4-BE49-F238E27FC236}">
              <a16:creationId xmlns:a16="http://schemas.microsoft.com/office/drawing/2014/main" id="{0982B967-33B9-BD2F-990D-293B41C385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147637</xdr:colOff>
      <xdr:row>2</xdr:row>
      <xdr:rowOff>166687</xdr:rowOff>
    </xdr:from>
    <xdr:to>
      <xdr:col>11</xdr:col>
      <xdr:colOff>452437</xdr:colOff>
      <xdr:row>17</xdr:row>
      <xdr:rowOff>52387</xdr:rowOff>
    </xdr:to>
    <xdr:graphicFrame macro="">
      <xdr:nvGraphicFramePr>
        <xdr:cNvPr id="2" name="Chart 1">
          <a:extLst>
            <a:ext uri="{FF2B5EF4-FFF2-40B4-BE49-F238E27FC236}">
              <a16:creationId xmlns:a16="http://schemas.microsoft.com/office/drawing/2014/main" id="{34F90300-D8C2-5F5B-83DB-311E99303B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yed Hassan Ahmed" refreshedDate="46128.654178935183" createdVersion="8" refreshedVersion="8" minRefreshableVersion="3" recordCount="100" xr:uid="{24EE8305-4BA0-4BF0-898D-76E29666BA7A}">
  <cacheSource type="worksheet">
    <worksheetSource ref="A1:I101" sheet="Jira_Tickets"/>
  </cacheSource>
  <cacheFields count="9">
    <cacheField name="Ticket_ID" numFmtId="0">
      <sharedItems/>
    </cacheField>
    <cacheField name="Category" numFmtId="0">
      <sharedItems count="5">
        <s v="Software Bug"/>
        <s v="Hardware Issue"/>
        <s v="Access Request"/>
        <s v="Password Reset"/>
        <s v="Network Issue"/>
      </sharedItems>
    </cacheField>
    <cacheField name="Priority" numFmtId="0">
      <sharedItems count="3">
        <s v="Low"/>
        <s v="High"/>
        <s v="Medium"/>
      </sharedItems>
    </cacheField>
    <cacheField name="Status" numFmtId="0">
      <sharedItems/>
    </cacheField>
    <cacheField name="Created_Date" numFmtId="0">
      <sharedItems/>
    </cacheField>
    <cacheField name="Resolved_Date" numFmtId="0">
      <sharedItems containsBlank="1"/>
    </cacheField>
    <cacheField name="Assigned_Team" numFmtId="0">
      <sharedItems count="4">
        <s v="HR Systems"/>
        <s v="IT Support"/>
        <s v="App Team"/>
        <s v="Network Team"/>
      </sharedItems>
    </cacheField>
    <cacheField name="Resolution_Time_Hours" numFmtId="0">
      <sharedItems containsString="0" containsBlank="1" containsNumber="1" containsInteger="1" minValue="1" maxValue="72" count="41">
        <n v="58"/>
        <m/>
        <n v="51"/>
        <n v="33"/>
        <n v="34"/>
        <n v="30"/>
        <n v="27"/>
        <n v="28"/>
        <n v="24"/>
        <n v="59"/>
        <n v="17"/>
        <n v="32"/>
        <n v="29"/>
        <n v="56"/>
        <n v="7"/>
        <n v="2"/>
        <n v="49"/>
        <n v="50"/>
        <n v="67"/>
        <n v="46"/>
        <n v="47"/>
        <n v="31"/>
        <n v="60"/>
        <n v="61"/>
        <n v="66"/>
        <n v="4"/>
        <n v="64"/>
        <n v="63"/>
        <n v="40"/>
        <n v="12"/>
        <n v="44"/>
        <n v="57"/>
        <n v="72"/>
        <n v="11"/>
        <n v="8"/>
        <n v="1"/>
        <n v="41"/>
        <n v="19"/>
        <n v="26"/>
        <n v="71"/>
        <n v="20"/>
      </sharedItems>
    </cacheField>
    <cacheField name="SLA_Breach" numFmtId="0">
      <sharedItems count="2">
        <s v="Yes"/>
        <s v="No"/>
      </sharedItems>
    </cacheField>
  </cacheFields>
  <extLst>
    <ext xmlns:x14="http://schemas.microsoft.com/office/spreadsheetml/2009/9/main" uri="{725AE2AE-9491-48be-B2B4-4EB974FC3084}">
      <x14:pivotCacheDefinition pivotCacheId="4062359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TKT-1001"/>
    <x v="0"/>
    <x v="0"/>
    <s v="Closed"/>
    <s v="2026-03-10 00:00"/>
    <s v="2026-03-12 10:00"/>
    <x v="0"/>
    <x v="0"/>
    <x v="0"/>
  </r>
  <r>
    <s v="TKT-1002"/>
    <x v="1"/>
    <x v="1"/>
    <s v="Open"/>
    <s v="2026-01-21 00:00"/>
    <m/>
    <x v="1"/>
    <x v="1"/>
    <x v="1"/>
  </r>
  <r>
    <s v="TKT-1003"/>
    <x v="0"/>
    <x v="1"/>
    <s v="Closed"/>
    <s v="2026-01-20 00:00"/>
    <s v="2026-01-22 03:00"/>
    <x v="2"/>
    <x v="2"/>
    <x v="0"/>
  </r>
  <r>
    <s v="TKT-1004"/>
    <x v="0"/>
    <x v="2"/>
    <s v="Open"/>
    <s v="2026-01-27 00:00"/>
    <m/>
    <x v="1"/>
    <x v="1"/>
    <x v="1"/>
  </r>
  <r>
    <s v="TKT-1005"/>
    <x v="1"/>
    <x v="2"/>
    <s v="Closed"/>
    <s v="2026-03-08 00:00"/>
    <s v="2026-03-09 09:00"/>
    <x v="2"/>
    <x v="3"/>
    <x v="0"/>
  </r>
  <r>
    <s v="TKT-1006"/>
    <x v="2"/>
    <x v="0"/>
    <s v="Open"/>
    <s v="2026-03-20 00:00"/>
    <m/>
    <x v="2"/>
    <x v="1"/>
    <x v="1"/>
  </r>
  <r>
    <s v="TKT-1007"/>
    <x v="2"/>
    <x v="0"/>
    <s v="Closed"/>
    <s v="2026-03-02 00:00"/>
    <s v="2026-03-03 10:00"/>
    <x v="2"/>
    <x v="4"/>
    <x v="0"/>
  </r>
  <r>
    <s v="TKT-1008"/>
    <x v="3"/>
    <x v="0"/>
    <s v="Closed"/>
    <s v="2026-03-02 00:00"/>
    <s v="2026-03-03 06:00"/>
    <x v="0"/>
    <x v="5"/>
    <x v="0"/>
  </r>
  <r>
    <s v="TKT-1009"/>
    <x v="2"/>
    <x v="0"/>
    <s v="Closed"/>
    <s v="2026-01-25 00:00"/>
    <s v="2026-01-26 03:00"/>
    <x v="0"/>
    <x v="6"/>
    <x v="0"/>
  </r>
  <r>
    <s v="TKT-1010"/>
    <x v="3"/>
    <x v="2"/>
    <s v="Closed"/>
    <s v="2026-03-26 00:00"/>
    <s v="2026-03-27 04:00"/>
    <x v="0"/>
    <x v="7"/>
    <x v="0"/>
  </r>
  <r>
    <s v="TKT-1011"/>
    <x v="3"/>
    <x v="2"/>
    <s v="Open"/>
    <s v="2026-03-22 00:00"/>
    <m/>
    <x v="2"/>
    <x v="1"/>
    <x v="1"/>
  </r>
  <r>
    <s v="TKT-1012"/>
    <x v="3"/>
    <x v="1"/>
    <s v="Open"/>
    <s v="2026-01-25 00:00"/>
    <m/>
    <x v="2"/>
    <x v="1"/>
    <x v="1"/>
  </r>
  <r>
    <s v="TKT-1013"/>
    <x v="0"/>
    <x v="2"/>
    <s v="Closed"/>
    <s v="2026-02-23 00:00"/>
    <s v="2026-02-24 00:00"/>
    <x v="1"/>
    <x v="8"/>
    <x v="1"/>
  </r>
  <r>
    <s v="TKT-1014"/>
    <x v="2"/>
    <x v="2"/>
    <s v="Closed"/>
    <s v="2026-02-14 00:00"/>
    <s v="2026-02-16 11:00"/>
    <x v="1"/>
    <x v="9"/>
    <x v="0"/>
  </r>
  <r>
    <s v="TKT-1015"/>
    <x v="3"/>
    <x v="2"/>
    <s v="Open"/>
    <s v="2026-01-05 00:00"/>
    <m/>
    <x v="0"/>
    <x v="1"/>
    <x v="1"/>
  </r>
  <r>
    <s v="TKT-1016"/>
    <x v="1"/>
    <x v="0"/>
    <s v="Open"/>
    <s v="2026-01-28 00:00"/>
    <m/>
    <x v="0"/>
    <x v="1"/>
    <x v="1"/>
  </r>
  <r>
    <s v="TKT-1017"/>
    <x v="0"/>
    <x v="0"/>
    <s v="Closed"/>
    <s v="2026-02-13 00:00"/>
    <s v="2026-02-13 17:00"/>
    <x v="3"/>
    <x v="10"/>
    <x v="1"/>
  </r>
  <r>
    <s v="TKT-1018"/>
    <x v="4"/>
    <x v="2"/>
    <s v="Open"/>
    <s v="2026-03-18 00:00"/>
    <m/>
    <x v="3"/>
    <x v="1"/>
    <x v="1"/>
  </r>
  <r>
    <s v="TKT-1019"/>
    <x v="4"/>
    <x v="2"/>
    <s v="Open"/>
    <s v="2026-01-12 00:00"/>
    <m/>
    <x v="0"/>
    <x v="1"/>
    <x v="1"/>
  </r>
  <r>
    <s v="TKT-1020"/>
    <x v="2"/>
    <x v="2"/>
    <s v="Closed"/>
    <s v="2026-03-28 00:00"/>
    <s v="2026-03-29 08:00"/>
    <x v="3"/>
    <x v="11"/>
    <x v="0"/>
  </r>
  <r>
    <s v="TKT-1021"/>
    <x v="3"/>
    <x v="2"/>
    <s v="Open"/>
    <s v="2026-01-17 00:00"/>
    <m/>
    <x v="0"/>
    <x v="1"/>
    <x v="1"/>
  </r>
  <r>
    <s v="TKT-1022"/>
    <x v="0"/>
    <x v="1"/>
    <s v="Closed"/>
    <s v="2026-03-02 00:00"/>
    <s v="2026-03-03 05:00"/>
    <x v="1"/>
    <x v="12"/>
    <x v="0"/>
  </r>
  <r>
    <s v="TKT-1023"/>
    <x v="4"/>
    <x v="2"/>
    <s v="Closed"/>
    <s v="2026-03-02 00:00"/>
    <s v="2026-03-04 08:00"/>
    <x v="0"/>
    <x v="13"/>
    <x v="0"/>
  </r>
  <r>
    <s v="TKT-1024"/>
    <x v="1"/>
    <x v="0"/>
    <s v="Closed"/>
    <s v="2026-02-05 00:00"/>
    <s v="2026-02-05 07:00"/>
    <x v="1"/>
    <x v="14"/>
    <x v="1"/>
  </r>
  <r>
    <s v="TKT-1025"/>
    <x v="0"/>
    <x v="2"/>
    <s v="Closed"/>
    <s v="2026-02-05 00:00"/>
    <s v="2026-02-07 11:00"/>
    <x v="0"/>
    <x v="9"/>
    <x v="0"/>
  </r>
  <r>
    <s v="TKT-1026"/>
    <x v="4"/>
    <x v="2"/>
    <s v="Open"/>
    <s v="2026-01-03 00:00"/>
    <m/>
    <x v="1"/>
    <x v="1"/>
    <x v="1"/>
  </r>
  <r>
    <s v="TKT-1027"/>
    <x v="4"/>
    <x v="1"/>
    <s v="Open"/>
    <s v="2026-02-06 00:00"/>
    <m/>
    <x v="1"/>
    <x v="1"/>
    <x v="1"/>
  </r>
  <r>
    <s v="TKT-1028"/>
    <x v="3"/>
    <x v="2"/>
    <s v="Open"/>
    <s v="2026-02-22 00:00"/>
    <m/>
    <x v="0"/>
    <x v="1"/>
    <x v="1"/>
  </r>
  <r>
    <s v="TKT-1029"/>
    <x v="4"/>
    <x v="0"/>
    <s v="Open"/>
    <s v="2026-02-24 00:00"/>
    <m/>
    <x v="2"/>
    <x v="1"/>
    <x v="1"/>
  </r>
  <r>
    <s v="TKT-1030"/>
    <x v="2"/>
    <x v="1"/>
    <s v="Closed"/>
    <s v="2026-01-05 00:00"/>
    <s v="2026-01-06 05:00"/>
    <x v="2"/>
    <x v="12"/>
    <x v="0"/>
  </r>
  <r>
    <s v="TKT-1031"/>
    <x v="4"/>
    <x v="1"/>
    <s v="Closed"/>
    <s v="2026-03-17 00:00"/>
    <s v="2026-03-17 02:00"/>
    <x v="1"/>
    <x v="15"/>
    <x v="1"/>
  </r>
  <r>
    <s v="TKT-1032"/>
    <x v="3"/>
    <x v="1"/>
    <s v="Closed"/>
    <s v="2026-03-20 00:00"/>
    <s v="2026-03-22 01:00"/>
    <x v="3"/>
    <x v="16"/>
    <x v="0"/>
  </r>
  <r>
    <s v="TKT-1033"/>
    <x v="2"/>
    <x v="2"/>
    <s v="Closed"/>
    <s v="2026-01-13 00:00"/>
    <s v="2026-01-15 02:00"/>
    <x v="1"/>
    <x v="17"/>
    <x v="0"/>
  </r>
  <r>
    <s v="TKT-1034"/>
    <x v="0"/>
    <x v="0"/>
    <s v="Open"/>
    <s v="2026-01-12 00:00"/>
    <m/>
    <x v="0"/>
    <x v="1"/>
    <x v="1"/>
  </r>
  <r>
    <s v="TKT-1035"/>
    <x v="2"/>
    <x v="0"/>
    <s v="Closed"/>
    <s v="2026-02-13 00:00"/>
    <s v="2026-02-15 19:00"/>
    <x v="3"/>
    <x v="18"/>
    <x v="0"/>
  </r>
  <r>
    <s v="TKT-1036"/>
    <x v="3"/>
    <x v="1"/>
    <s v="Closed"/>
    <s v="2026-02-01 00:00"/>
    <s v="2026-02-02 06:00"/>
    <x v="3"/>
    <x v="5"/>
    <x v="0"/>
  </r>
  <r>
    <s v="TKT-1037"/>
    <x v="0"/>
    <x v="0"/>
    <s v="Closed"/>
    <s v="2026-01-25 00:00"/>
    <s v="2026-01-26 22:00"/>
    <x v="3"/>
    <x v="19"/>
    <x v="0"/>
  </r>
  <r>
    <s v="TKT-1038"/>
    <x v="1"/>
    <x v="2"/>
    <s v="Closed"/>
    <s v="2026-02-04 00:00"/>
    <s v="2026-02-05 23:00"/>
    <x v="3"/>
    <x v="20"/>
    <x v="0"/>
  </r>
  <r>
    <s v="TKT-1039"/>
    <x v="3"/>
    <x v="1"/>
    <s v="Closed"/>
    <s v="2026-03-11 00:00"/>
    <s v="2026-03-13 03:00"/>
    <x v="1"/>
    <x v="2"/>
    <x v="0"/>
  </r>
  <r>
    <s v="TKT-1040"/>
    <x v="3"/>
    <x v="2"/>
    <s v="Closed"/>
    <s v="2026-01-17 00:00"/>
    <s v="2026-01-18 07:00"/>
    <x v="1"/>
    <x v="21"/>
    <x v="0"/>
  </r>
  <r>
    <s v="TKT-1041"/>
    <x v="3"/>
    <x v="0"/>
    <s v="Closed"/>
    <s v="2026-03-15 00:00"/>
    <s v="2026-03-17 12:00"/>
    <x v="3"/>
    <x v="22"/>
    <x v="0"/>
  </r>
  <r>
    <s v="TKT-1042"/>
    <x v="2"/>
    <x v="1"/>
    <s v="Closed"/>
    <s v="2026-03-24 00:00"/>
    <s v="2026-03-25 22:00"/>
    <x v="2"/>
    <x v="19"/>
    <x v="0"/>
  </r>
  <r>
    <s v="TKT-1043"/>
    <x v="3"/>
    <x v="0"/>
    <s v="Closed"/>
    <s v="2026-03-22 00:00"/>
    <s v="2026-03-24 11:00"/>
    <x v="0"/>
    <x v="9"/>
    <x v="0"/>
  </r>
  <r>
    <s v="TKT-1044"/>
    <x v="3"/>
    <x v="1"/>
    <s v="Closed"/>
    <s v="2026-02-23 00:00"/>
    <s v="2026-02-25 13:00"/>
    <x v="1"/>
    <x v="23"/>
    <x v="0"/>
  </r>
  <r>
    <s v="TKT-1045"/>
    <x v="3"/>
    <x v="0"/>
    <s v="Closed"/>
    <s v="2026-03-08 00:00"/>
    <s v="2026-03-10 19:00"/>
    <x v="2"/>
    <x v="18"/>
    <x v="0"/>
  </r>
  <r>
    <s v="TKT-1046"/>
    <x v="3"/>
    <x v="0"/>
    <s v="Closed"/>
    <s v="2026-01-06 00:00"/>
    <s v="2026-01-08 18:00"/>
    <x v="2"/>
    <x v="24"/>
    <x v="0"/>
  </r>
  <r>
    <s v="TKT-1047"/>
    <x v="0"/>
    <x v="2"/>
    <s v="Closed"/>
    <s v="2026-03-13 00:00"/>
    <s v="2026-03-13 04:00"/>
    <x v="3"/>
    <x v="25"/>
    <x v="1"/>
  </r>
  <r>
    <s v="TKT-1048"/>
    <x v="0"/>
    <x v="1"/>
    <s v="Open"/>
    <s v="2026-02-03 00:00"/>
    <m/>
    <x v="3"/>
    <x v="1"/>
    <x v="1"/>
  </r>
  <r>
    <s v="TKT-1049"/>
    <x v="0"/>
    <x v="2"/>
    <s v="Open"/>
    <s v="2026-03-20 00:00"/>
    <m/>
    <x v="2"/>
    <x v="1"/>
    <x v="1"/>
  </r>
  <r>
    <s v="TKT-1050"/>
    <x v="0"/>
    <x v="1"/>
    <s v="Open"/>
    <s v="2026-02-18 00:00"/>
    <m/>
    <x v="1"/>
    <x v="1"/>
    <x v="1"/>
  </r>
  <r>
    <s v="TKT-1051"/>
    <x v="1"/>
    <x v="2"/>
    <s v="Closed"/>
    <s v="2026-03-08 00:00"/>
    <s v="2026-03-10 16:00"/>
    <x v="3"/>
    <x v="26"/>
    <x v="0"/>
  </r>
  <r>
    <s v="TKT-1052"/>
    <x v="0"/>
    <x v="0"/>
    <s v="Closed"/>
    <s v="2026-01-08 00:00"/>
    <s v="2026-01-10 15:00"/>
    <x v="1"/>
    <x v="27"/>
    <x v="0"/>
  </r>
  <r>
    <s v="TKT-1053"/>
    <x v="2"/>
    <x v="0"/>
    <s v="Open"/>
    <s v="2026-01-22 00:00"/>
    <m/>
    <x v="3"/>
    <x v="1"/>
    <x v="1"/>
  </r>
  <r>
    <s v="TKT-1054"/>
    <x v="1"/>
    <x v="0"/>
    <s v="Closed"/>
    <s v="2026-01-29 00:00"/>
    <s v="2026-01-30 16:00"/>
    <x v="3"/>
    <x v="28"/>
    <x v="0"/>
  </r>
  <r>
    <s v="TKT-1055"/>
    <x v="2"/>
    <x v="0"/>
    <s v="Closed"/>
    <s v="2026-03-10 00:00"/>
    <s v="2026-03-10 12:00"/>
    <x v="2"/>
    <x v="29"/>
    <x v="1"/>
  </r>
  <r>
    <s v="TKT-1056"/>
    <x v="2"/>
    <x v="2"/>
    <s v="Closed"/>
    <s v="2026-04-01 00:00"/>
    <s v="2026-04-03 08:00"/>
    <x v="0"/>
    <x v="13"/>
    <x v="0"/>
  </r>
  <r>
    <s v="TKT-1057"/>
    <x v="0"/>
    <x v="0"/>
    <s v="Open"/>
    <s v="2026-03-29 00:00"/>
    <m/>
    <x v="3"/>
    <x v="1"/>
    <x v="1"/>
  </r>
  <r>
    <s v="TKT-1058"/>
    <x v="0"/>
    <x v="1"/>
    <s v="Closed"/>
    <s v="2026-01-21 00:00"/>
    <s v="2026-01-22 20:00"/>
    <x v="0"/>
    <x v="30"/>
    <x v="0"/>
  </r>
  <r>
    <s v="TKT-1059"/>
    <x v="2"/>
    <x v="2"/>
    <s v="Open"/>
    <s v="2026-02-06 00:00"/>
    <m/>
    <x v="2"/>
    <x v="1"/>
    <x v="1"/>
  </r>
  <r>
    <s v="TKT-1060"/>
    <x v="0"/>
    <x v="0"/>
    <s v="Closed"/>
    <s v="2026-02-15 00:00"/>
    <s v="2026-02-17 19:00"/>
    <x v="0"/>
    <x v="18"/>
    <x v="0"/>
  </r>
  <r>
    <s v="TKT-1061"/>
    <x v="3"/>
    <x v="2"/>
    <s v="Closed"/>
    <s v="2026-02-25 00:00"/>
    <s v="2026-02-27 15:00"/>
    <x v="3"/>
    <x v="27"/>
    <x v="0"/>
  </r>
  <r>
    <s v="TKT-1062"/>
    <x v="3"/>
    <x v="0"/>
    <s v="Closed"/>
    <s v="2026-01-20 00:00"/>
    <s v="2026-01-22 09:00"/>
    <x v="0"/>
    <x v="31"/>
    <x v="0"/>
  </r>
  <r>
    <s v="TKT-1063"/>
    <x v="3"/>
    <x v="1"/>
    <s v="Open"/>
    <s v="2026-03-05 00:00"/>
    <m/>
    <x v="1"/>
    <x v="1"/>
    <x v="1"/>
  </r>
  <r>
    <s v="TKT-1064"/>
    <x v="4"/>
    <x v="2"/>
    <s v="Closed"/>
    <s v="2026-02-22 00:00"/>
    <s v="2026-02-25 00:00"/>
    <x v="3"/>
    <x v="32"/>
    <x v="0"/>
  </r>
  <r>
    <s v="TKT-1065"/>
    <x v="3"/>
    <x v="2"/>
    <s v="Open"/>
    <s v="2026-01-12 00:00"/>
    <m/>
    <x v="1"/>
    <x v="1"/>
    <x v="1"/>
  </r>
  <r>
    <s v="TKT-1066"/>
    <x v="3"/>
    <x v="0"/>
    <s v="Open"/>
    <s v="2026-03-12 00:00"/>
    <m/>
    <x v="1"/>
    <x v="1"/>
    <x v="1"/>
  </r>
  <r>
    <s v="TKT-1067"/>
    <x v="1"/>
    <x v="0"/>
    <s v="Open"/>
    <s v="2026-01-27 00:00"/>
    <m/>
    <x v="2"/>
    <x v="1"/>
    <x v="1"/>
  </r>
  <r>
    <s v="TKT-1068"/>
    <x v="3"/>
    <x v="0"/>
    <s v="Closed"/>
    <s v="2026-03-20 00:00"/>
    <s v="2026-03-21 20:00"/>
    <x v="1"/>
    <x v="30"/>
    <x v="0"/>
  </r>
  <r>
    <s v="TKT-1069"/>
    <x v="2"/>
    <x v="1"/>
    <s v="Closed"/>
    <s v="2026-03-12 00:00"/>
    <s v="2026-03-14 11:00"/>
    <x v="0"/>
    <x v="9"/>
    <x v="0"/>
  </r>
  <r>
    <s v="TKT-1070"/>
    <x v="2"/>
    <x v="0"/>
    <s v="Open"/>
    <s v="2026-01-16 00:00"/>
    <m/>
    <x v="3"/>
    <x v="1"/>
    <x v="1"/>
  </r>
  <r>
    <s v="TKT-1071"/>
    <x v="4"/>
    <x v="0"/>
    <s v="Open"/>
    <s v="2026-01-09 00:00"/>
    <m/>
    <x v="2"/>
    <x v="1"/>
    <x v="1"/>
  </r>
  <r>
    <s v="TKT-1072"/>
    <x v="3"/>
    <x v="2"/>
    <s v="Closed"/>
    <s v="2026-03-30 00:00"/>
    <s v="2026-03-30 11:00"/>
    <x v="0"/>
    <x v="33"/>
    <x v="1"/>
  </r>
  <r>
    <s v="TKT-1073"/>
    <x v="2"/>
    <x v="2"/>
    <s v="Closed"/>
    <s v="2026-02-22 00:00"/>
    <s v="2026-02-22 07:00"/>
    <x v="2"/>
    <x v="14"/>
    <x v="1"/>
  </r>
  <r>
    <s v="TKT-1074"/>
    <x v="3"/>
    <x v="2"/>
    <s v="Closed"/>
    <s v="2026-01-20 00:00"/>
    <s v="2026-01-23 00:00"/>
    <x v="3"/>
    <x v="32"/>
    <x v="0"/>
  </r>
  <r>
    <s v="TKT-1075"/>
    <x v="4"/>
    <x v="2"/>
    <s v="Open"/>
    <s v="2026-03-02 00:00"/>
    <m/>
    <x v="2"/>
    <x v="1"/>
    <x v="1"/>
  </r>
  <r>
    <s v="TKT-1076"/>
    <x v="3"/>
    <x v="2"/>
    <s v="Closed"/>
    <s v="2026-02-12 00:00"/>
    <s v="2026-02-12 02:00"/>
    <x v="3"/>
    <x v="15"/>
    <x v="1"/>
  </r>
  <r>
    <s v="TKT-1077"/>
    <x v="3"/>
    <x v="2"/>
    <s v="Closed"/>
    <s v="2026-01-15 00:00"/>
    <s v="2026-01-15 08:00"/>
    <x v="3"/>
    <x v="34"/>
    <x v="1"/>
  </r>
  <r>
    <s v="TKT-1078"/>
    <x v="0"/>
    <x v="2"/>
    <s v="Open"/>
    <s v="2026-01-03 00:00"/>
    <m/>
    <x v="3"/>
    <x v="1"/>
    <x v="1"/>
  </r>
  <r>
    <s v="TKT-1079"/>
    <x v="2"/>
    <x v="1"/>
    <s v="Closed"/>
    <s v="2026-03-01 00:00"/>
    <s v="2026-03-01 02:00"/>
    <x v="1"/>
    <x v="15"/>
    <x v="1"/>
  </r>
  <r>
    <s v="TKT-1080"/>
    <x v="3"/>
    <x v="0"/>
    <s v="Open"/>
    <s v="2026-02-23 00:00"/>
    <m/>
    <x v="2"/>
    <x v="1"/>
    <x v="1"/>
  </r>
  <r>
    <s v="TKT-1081"/>
    <x v="3"/>
    <x v="1"/>
    <s v="Open"/>
    <s v="2026-01-27 00:00"/>
    <m/>
    <x v="3"/>
    <x v="1"/>
    <x v="1"/>
  </r>
  <r>
    <s v="TKT-1082"/>
    <x v="2"/>
    <x v="1"/>
    <s v="Open"/>
    <s v="2026-01-20 00:00"/>
    <m/>
    <x v="0"/>
    <x v="1"/>
    <x v="1"/>
  </r>
  <r>
    <s v="TKT-1083"/>
    <x v="0"/>
    <x v="2"/>
    <s v="Closed"/>
    <s v="2026-03-15 00:00"/>
    <s v="2026-03-15 01:00"/>
    <x v="3"/>
    <x v="35"/>
    <x v="1"/>
  </r>
  <r>
    <s v="TKT-1084"/>
    <x v="0"/>
    <x v="0"/>
    <s v="Closed"/>
    <s v="2026-01-17 00:00"/>
    <s v="2026-01-17 07:00"/>
    <x v="0"/>
    <x v="14"/>
    <x v="1"/>
  </r>
  <r>
    <s v="TKT-1085"/>
    <x v="0"/>
    <x v="1"/>
    <s v="Closed"/>
    <s v="2026-02-01 00:00"/>
    <s v="2026-02-02 17:00"/>
    <x v="0"/>
    <x v="36"/>
    <x v="0"/>
  </r>
  <r>
    <s v="TKT-1086"/>
    <x v="3"/>
    <x v="1"/>
    <s v="Open"/>
    <s v="2026-02-14 00:00"/>
    <m/>
    <x v="1"/>
    <x v="1"/>
    <x v="1"/>
  </r>
  <r>
    <s v="TKT-1087"/>
    <x v="1"/>
    <x v="0"/>
    <s v="Closed"/>
    <s v="2026-02-03 00:00"/>
    <s v="2026-02-05 13:00"/>
    <x v="1"/>
    <x v="23"/>
    <x v="0"/>
  </r>
  <r>
    <s v="TKT-1088"/>
    <x v="3"/>
    <x v="2"/>
    <s v="Closed"/>
    <s v="2026-02-15 00:00"/>
    <s v="2026-02-15 19:00"/>
    <x v="0"/>
    <x v="37"/>
    <x v="1"/>
  </r>
  <r>
    <s v="TKT-1089"/>
    <x v="3"/>
    <x v="2"/>
    <s v="Closed"/>
    <s v="2026-03-27 00:00"/>
    <s v="2026-03-29 16:00"/>
    <x v="3"/>
    <x v="26"/>
    <x v="0"/>
  </r>
  <r>
    <s v="TKT-1090"/>
    <x v="0"/>
    <x v="2"/>
    <s v="Open"/>
    <s v="2026-03-12 00:00"/>
    <m/>
    <x v="1"/>
    <x v="1"/>
    <x v="1"/>
  </r>
  <r>
    <s v="TKT-1091"/>
    <x v="2"/>
    <x v="2"/>
    <s v="Closed"/>
    <s v="2026-02-06 00:00"/>
    <s v="2026-02-07 17:00"/>
    <x v="0"/>
    <x v="36"/>
    <x v="0"/>
  </r>
  <r>
    <s v="TKT-1092"/>
    <x v="3"/>
    <x v="2"/>
    <s v="Closed"/>
    <s v="2026-03-19 00:00"/>
    <s v="2026-03-20 10:00"/>
    <x v="1"/>
    <x v="4"/>
    <x v="0"/>
  </r>
  <r>
    <s v="TKT-1093"/>
    <x v="4"/>
    <x v="1"/>
    <s v="Closed"/>
    <s v="2026-03-15 00:00"/>
    <s v="2026-03-16 02:00"/>
    <x v="3"/>
    <x v="38"/>
    <x v="0"/>
  </r>
  <r>
    <s v="TKT-1094"/>
    <x v="1"/>
    <x v="1"/>
    <s v="Closed"/>
    <s v="2026-01-26 00:00"/>
    <s v="2026-01-28 23:00"/>
    <x v="1"/>
    <x v="39"/>
    <x v="0"/>
  </r>
  <r>
    <s v="TKT-1095"/>
    <x v="1"/>
    <x v="2"/>
    <s v="Closed"/>
    <s v="2026-02-04 00:00"/>
    <s v="2026-02-04 20:00"/>
    <x v="1"/>
    <x v="40"/>
    <x v="1"/>
  </r>
  <r>
    <s v="TKT-1096"/>
    <x v="1"/>
    <x v="1"/>
    <s v="Closed"/>
    <s v="2026-03-05 00:00"/>
    <s v="2026-03-07 02:00"/>
    <x v="1"/>
    <x v="17"/>
    <x v="0"/>
  </r>
  <r>
    <s v="TKT-1097"/>
    <x v="3"/>
    <x v="1"/>
    <s v="Open"/>
    <s v="2026-03-11 00:00"/>
    <m/>
    <x v="3"/>
    <x v="1"/>
    <x v="1"/>
  </r>
  <r>
    <s v="TKT-1098"/>
    <x v="1"/>
    <x v="0"/>
    <s v="Open"/>
    <s v="2026-02-19 00:00"/>
    <m/>
    <x v="1"/>
    <x v="1"/>
    <x v="1"/>
  </r>
  <r>
    <s v="TKT-1099"/>
    <x v="2"/>
    <x v="1"/>
    <s v="Closed"/>
    <s v="2026-02-21 00:00"/>
    <s v="2026-02-22 06:00"/>
    <x v="0"/>
    <x v="5"/>
    <x v="0"/>
  </r>
  <r>
    <s v="TKT-1100"/>
    <x v="3"/>
    <x v="1"/>
    <s v="Open"/>
    <s v="2026-03-21 00:00"/>
    <m/>
    <x v="3"/>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2FFE74-17E6-4DEE-B6BB-970F3846295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C8" firstHeaderRow="0" firstDataRow="1" firstDataCol="1"/>
  <pivotFields count="9">
    <pivotField dataField="1" showAll="0"/>
    <pivotField showAll="0"/>
    <pivotField showAll="0"/>
    <pivotField showAll="0"/>
    <pivotField showAll="0"/>
    <pivotField showAll="0"/>
    <pivotField axis="axisRow" showAll="0">
      <items count="5">
        <item x="2"/>
        <item x="0"/>
        <item x="1"/>
        <item x="3"/>
        <item t="default"/>
      </items>
    </pivotField>
    <pivotField dataField="1" showAll="0"/>
    <pivotField showAll="0"/>
  </pivotFields>
  <rowFields count="1">
    <field x="6"/>
  </rowFields>
  <rowItems count="5">
    <i>
      <x/>
    </i>
    <i>
      <x v="1"/>
    </i>
    <i>
      <x v="2"/>
    </i>
    <i>
      <x v="3"/>
    </i>
    <i t="grand">
      <x/>
    </i>
  </rowItems>
  <colFields count="1">
    <field x="-2"/>
  </colFields>
  <colItems count="2">
    <i>
      <x/>
    </i>
    <i i="1">
      <x v="1"/>
    </i>
  </colItems>
  <dataFields count="2">
    <dataField name="Count of Ticket_ID" fld="0" subtotal="count" baseField="0" baseItem="0"/>
    <dataField name="Average of Resolution_Time_Hours" fld="7" subtotal="average" baseField="6"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30EF65-61B0-4DFC-9C37-DC0C2379AA9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E7" firstHeaderRow="1" firstDataRow="2" firstDataCol="1"/>
  <pivotFields count="9">
    <pivotField dataField="1" showAll="0"/>
    <pivotField showAll="0"/>
    <pivotField axis="axisCol" showAll="0">
      <items count="4">
        <item x="1"/>
        <item x="0"/>
        <item x="2"/>
        <item t="default"/>
      </items>
    </pivotField>
    <pivotField showAll="0"/>
    <pivotField showAll="0"/>
    <pivotField showAll="0"/>
    <pivotField showAll="0"/>
    <pivotField showAll="0"/>
    <pivotField axis="axisRow" showAll="0">
      <items count="3">
        <item x="1"/>
        <item x="0"/>
        <item t="default"/>
      </items>
    </pivotField>
  </pivotFields>
  <rowFields count="1">
    <field x="8"/>
  </rowFields>
  <rowItems count="3">
    <i>
      <x/>
    </i>
    <i>
      <x v="1"/>
    </i>
    <i t="grand">
      <x/>
    </i>
  </rowItems>
  <colFields count="1">
    <field x="2"/>
  </colFields>
  <colItems count="4">
    <i>
      <x/>
    </i>
    <i>
      <x v="1"/>
    </i>
    <i>
      <x v="2"/>
    </i>
    <i t="grand">
      <x/>
    </i>
  </colItems>
  <dataFields count="1">
    <dataField name="Count of Ticket_ID" fld="0" subtotal="count" baseField="0" baseItem="0"/>
  </dataFields>
  <chartFormats count="9">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12" format="3" series="1">
      <pivotArea type="data" outline="0" fieldPosition="0">
        <references count="2">
          <reference field="4294967294" count="1" selected="0">
            <x v="0"/>
          </reference>
          <reference field="2" count="1" selected="0">
            <x v="0"/>
          </reference>
        </references>
      </pivotArea>
    </chartFormat>
    <chartFormat chart="12" format="4" series="1">
      <pivotArea type="data" outline="0" fieldPosition="0">
        <references count="2">
          <reference field="4294967294" count="1" selected="0">
            <x v="0"/>
          </reference>
          <reference field="2" count="1" selected="0">
            <x v="1"/>
          </reference>
        </references>
      </pivotArea>
    </chartFormat>
    <chartFormat chart="12" format="5" series="1">
      <pivotArea type="data" outline="0" fieldPosition="0">
        <references count="2">
          <reference field="4294967294" count="1" selected="0">
            <x v="0"/>
          </reference>
          <reference field="2" count="1" selected="0">
            <x v="2"/>
          </reference>
        </references>
      </pivotArea>
    </chartFormat>
    <chartFormat chart="14" format="6" series="1">
      <pivotArea type="data" outline="0" fieldPosition="0">
        <references count="2">
          <reference field="4294967294" count="1" selected="0">
            <x v="0"/>
          </reference>
          <reference field="2" count="1" selected="0">
            <x v="0"/>
          </reference>
        </references>
      </pivotArea>
    </chartFormat>
    <chartFormat chart="14" format="7" series="1">
      <pivotArea type="data" outline="0" fieldPosition="0">
        <references count="2">
          <reference field="4294967294" count="1" selected="0">
            <x v="0"/>
          </reference>
          <reference field="2" count="1" selected="0">
            <x v="1"/>
          </reference>
        </references>
      </pivotArea>
    </chartFormat>
    <chartFormat chart="14" format="8"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B4A401-FADA-424D-94B5-3FA2A0664AB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7" firstHeaderRow="1" firstDataRow="1" firstDataCol="1"/>
  <pivotFields count="9">
    <pivotField dataField="1" showAll="0"/>
    <pivotField axis="axisRow" showAll="0">
      <items count="6">
        <item x="2"/>
        <item x="1"/>
        <item x="4"/>
        <item x="3"/>
        <item x="0"/>
        <item t="default"/>
      </items>
    </pivotField>
    <pivotField showAll="0"/>
    <pivotField showAll="0"/>
    <pivotField showAll="0"/>
    <pivotField showAll="0"/>
    <pivotField showAll="0"/>
    <pivotField showAll="0"/>
    <pivotField showAll="0"/>
  </pivotFields>
  <rowFields count="1">
    <field x="1"/>
  </rowFields>
  <rowItems count="6">
    <i>
      <x/>
    </i>
    <i>
      <x v="1"/>
    </i>
    <i>
      <x v="2"/>
    </i>
    <i>
      <x v="3"/>
    </i>
    <i>
      <x v="4"/>
    </i>
    <i t="grand">
      <x/>
    </i>
  </rowItems>
  <colItems count="1">
    <i/>
  </colItems>
  <dataFields count="1">
    <dataField name="Count of Ticket_ID" fld="0" subtotal="count" baseField="0" baseItem="0"/>
  </dataFields>
  <chartFormats count="8">
    <chartFormat chart="0"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1" count="1" selected="0">
            <x v="0"/>
          </reference>
        </references>
      </pivotArea>
    </chartFormat>
    <chartFormat chart="4" format="9">
      <pivotArea type="data" outline="0" fieldPosition="0">
        <references count="2">
          <reference field="4294967294" count="1" selected="0">
            <x v="0"/>
          </reference>
          <reference field="1" count="1" selected="0">
            <x v="1"/>
          </reference>
        </references>
      </pivotArea>
    </chartFormat>
    <chartFormat chart="4" format="10">
      <pivotArea type="data" outline="0" fieldPosition="0">
        <references count="2">
          <reference field="4294967294" count="1" selected="0">
            <x v="0"/>
          </reference>
          <reference field="1" count="1" selected="0">
            <x v="2"/>
          </reference>
        </references>
      </pivotArea>
    </chartFormat>
    <chartFormat chart="4" format="11">
      <pivotArea type="data" outline="0" fieldPosition="0">
        <references count="2">
          <reference field="4294967294" count="1" selected="0">
            <x v="0"/>
          </reference>
          <reference field="1" count="1" selected="0">
            <x v="3"/>
          </reference>
        </references>
      </pivotArea>
    </chartFormat>
    <chartFormat chart="4" format="12">
      <pivotArea type="data" outline="0" fieldPosition="0">
        <references count="2">
          <reference field="4294967294" count="1" selected="0">
            <x v="0"/>
          </reference>
          <reference field="1" count="1" selected="0">
            <x v="4"/>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7904FAD-B645-47AE-94A2-ABBFF3B5336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9">
    <pivotField showAll="0"/>
    <pivotField axis="axisRow" showAll="0">
      <items count="6">
        <item x="2"/>
        <item x="1"/>
        <item x="4"/>
        <item x="3"/>
        <item x="0"/>
        <item t="default"/>
      </items>
    </pivotField>
    <pivotField showAll="0"/>
    <pivotField showAll="0"/>
    <pivotField showAll="0"/>
    <pivotField showAll="0"/>
    <pivotField showAll="0"/>
    <pivotField dataField="1" showAll="0">
      <items count="42">
        <item x="35"/>
        <item x="15"/>
        <item x="25"/>
        <item x="14"/>
        <item x="34"/>
        <item x="33"/>
        <item x="29"/>
        <item x="10"/>
        <item x="37"/>
        <item x="40"/>
        <item x="8"/>
        <item x="38"/>
        <item x="6"/>
        <item x="7"/>
        <item x="12"/>
        <item x="5"/>
        <item x="21"/>
        <item x="11"/>
        <item x="3"/>
        <item x="4"/>
        <item x="28"/>
        <item x="36"/>
        <item x="30"/>
        <item x="19"/>
        <item x="20"/>
        <item x="16"/>
        <item x="17"/>
        <item x="2"/>
        <item x="13"/>
        <item x="31"/>
        <item x="0"/>
        <item x="9"/>
        <item x="22"/>
        <item x="23"/>
        <item x="27"/>
        <item x="26"/>
        <item x="24"/>
        <item x="18"/>
        <item x="39"/>
        <item x="32"/>
        <item x="1"/>
        <item t="default"/>
      </items>
    </pivotField>
    <pivotField showAll="0"/>
  </pivotFields>
  <rowFields count="1">
    <field x="1"/>
  </rowFields>
  <rowItems count="6">
    <i>
      <x/>
    </i>
    <i>
      <x v="1"/>
    </i>
    <i>
      <x v="2"/>
    </i>
    <i>
      <x v="3"/>
    </i>
    <i>
      <x v="4"/>
    </i>
    <i t="grand">
      <x/>
    </i>
  </rowItems>
  <colItems count="1">
    <i/>
  </colItems>
  <dataFields count="1">
    <dataField name="Average of Resolution_Time_Hours" fld="7" subtotal="average" baseField="1"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ssigned_Team" xr10:uid="{AC30D4E5-A29A-4122-9F4F-3302F54C1D41}" sourceName="Assigned_Team">
  <pivotTables>
    <pivotTable tabId="5" name="PivotTable4"/>
  </pivotTables>
  <data>
    <tabular pivotCacheId="406235961">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6BFFCF4-914F-4AA7-9D05-A1B500444ED7}" sourceName="Category">
  <pivotTables>
    <pivotTable tabId="2" name="PivotTable1"/>
    <pivotTable tabId="3" name="PivotTable2"/>
  </pivotTables>
  <data>
    <tabular pivotCacheId="406235961">
      <items count="5">
        <i x="2" s="1"/>
        <i x="1" s="1"/>
        <i x="4"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ssigned_Teams" xr10:uid="{3C637E48-7A64-496B-8EF5-03B2D7199453}" cache="Slicer_Assigned_Team" caption="Teams" rowHeight="241300"/>
  <slicer name="Category" xr10:uid="{D972E1E9-BFED-4070-B5B9-51A16E3F98C5}" cache="Slicer_Category" caption="Category" rowHeight="241300"/>
</slicers>
</file>

<file path=xl/theme/theme1.xml><?xml version="1.0" encoding="utf-8"?>
<a:theme xmlns:a="http://schemas.openxmlformats.org/drawingml/2006/main" name="Dividend">
  <a:themeElements>
    <a:clrScheme name="Dividend">
      <a:dk1>
        <a:sysClr val="windowText" lastClr="000000"/>
      </a:dk1>
      <a:lt1>
        <a:sysClr val="window" lastClr="FFFFFF"/>
      </a:lt1>
      <a:dk2>
        <a:srgbClr val="3D3D3D"/>
      </a:dk2>
      <a:lt2>
        <a:srgbClr val="EBEBEB"/>
      </a:lt2>
      <a:accent1>
        <a:srgbClr val="4D1434"/>
      </a:accent1>
      <a:accent2>
        <a:srgbClr val="903163"/>
      </a:accent2>
      <a:accent3>
        <a:srgbClr val="B2324B"/>
      </a:accent3>
      <a:accent4>
        <a:srgbClr val="969FA7"/>
      </a:accent4>
      <a:accent5>
        <a:srgbClr val="66B1CE"/>
      </a:accent5>
      <a:accent6>
        <a:srgbClr val="40619D"/>
      </a:accent6>
      <a:hlink>
        <a:srgbClr val="828282"/>
      </a:hlink>
      <a:folHlink>
        <a:srgbClr val="A5A5A5"/>
      </a:folHlink>
    </a:clrScheme>
    <a:fontScheme name="Dividend">
      <a:maj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Dividend">
      <a:fillStyleLst>
        <a:solidFill>
          <a:schemeClr val="phClr"/>
        </a:solidFill>
        <a:gradFill rotWithShape="1">
          <a:gsLst>
            <a:gs pos="0">
              <a:schemeClr val="phClr">
                <a:tint val="68000"/>
                <a:alpha val="90000"/>
                <a:lumMod val="100000"/>
              </a:schemeClr>
            </a:gs>
            <a:gs pos="100000">
              <a:schemeClr val="phClr">
                <a:tint val="90000"/>
                <a:lumMod val="95000"/>
              </a:schemeClr>
            </a:gs>
          </a:gsLst>
          <a:lin ang="5400000" scaled="1"/>
        </a:gradFill>
        <a:gradFill rotWithShape="1">
          <a:gsLst>
            <a:gs pos="0">
              <a:schemeClr val="phClr">
                <a:tint val="98000"/>
                <a:lumMod val="110000"/>
              </a:schemeClr>
            </a:gs>
            <a:gs pos="84000">
              <a:schemeClr val="phClr">
                <a:shade val="90000"/>
                <a:lumMod val="88000"/>
              </a:schemeClr>
            </a:gs>
          </a:gsLst>
          <a:lin ang="5400000" scaled="0"/>
        </a:gradFill>
      </a:fillStyleLst>
      <a:lnStyleLst>
        <a:ln w="12700" cap="rnd" cmpd="sng" algn="ctr">
          <a:solidFill>
            <a:schemeClr val="phClr">
              <a:lumMod val="90000"/>
            </a:schemeClr>
          </a:solidFill>
          <a:prstDash val="solid"/>
        </a:ln>
        <a:ln w="22225"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55000"/>
              </a:srgbClr>
            </a:outerShdw>
          </a:effectLst>
        </a:effectStyle>
        <a:effectStyle>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a:effectStyle>
      </a:effectStyleLst>
      <a:bgFillStyleLst>
        <a:solidFill>
          <a:schemeClr val="phClr"/>
        </a:solidFill>
        <a:gradFill rotWithShape="1">
          <a:gsLst>
            <a:gs pos="0">
              <a:schemeClr val="phClr">
                <a:tint val="90000"/>
                <a:lumMod val="110000"/>
              </a:schemeClr>
            </a:gs>
            <a:gs pos="88000">
              <a:schemeClr val="phClr">
                <a:shade val="94000"/>
                <a:satMod val="110000"/>
                <a:lumMod val="88000"/>
              </a:schemeClr>
            </a:gs>
          </a:gsLst>
          <a:lin ang="5400000" scaled="0"/>
        </a:gradFill>
        <a:gradFill rotWithShape="1">
          <a:gsLst>
            <a:gs pos="0">
              <a:schemeClr val="phClr">
                <a:tint val="90000"/>
                <a:lumMod val="110000"/>
              </a:schemeClr>
            </a:gs>
            <a:gs pos="100000">
              <a:schemeClr val="phClr">
                <a:shade val="98000"/>
                <a:satMod val="110000"/>
                <a:lumMod val="8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Dividend" id="{9697A71B-4AB7-4A1A-BD5B-BB2D22835B57}" vid="{C21699FF-00E4-43C8-BBCC-D7E5536C3717}"/>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1.bin"/><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53284-0107-4D4B-94C4-9E5D264FBA5F}">
  <dimension ref="A1"/>
  <sheetViews>
    <sheetView showGridLines="0" showRowColHeaders="0" zoomScale="110" zoomScaleNormal="110" workbookViewId="0">
      <selection activeCell="T17" sqref="T17"/>
      <extLst>
        <ext xmlns:xlsdti="http://schemas.microsoft.com/office/spreadsheetml/2023/showDataTypeIcons" uri="{77bfe23e-c014-4d31-8a63-9c772dbf06b6}">
          <xlsdti:showDataTypeIcons visible="0"/>
        </ext>
      </extLst>
    </sheetView>
  </sheetViews>
  <sheetFormatPr defaultRowHeight="17.2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1"/>
  <sheetViews>
    <sheetView workbookViewId="0">
      <selection activeCell="I1" sqref="I1:I1048576"/>
    </sheetView>
  </sheetViews>
  <sheetFormatPr defaultRowHeight="17.25" x14ac:dyDescent="0.35"/>
  <cols>
    <col min="1" max="1" width="15.75" customWidth="1"/>
    <col min="2" max="2" width="16.375" customWidth="1"/>
    <col min="3" max="3" width="15" customWidth="1"/>
    <col min="4" max="4" width="16.75" customWidth="1"/>
    <col min="5" max="5" width="22.625" customWidth="1"/>
    <col min="6" max="6" width="20.625" customWidth="1"/>
    <col min="7" max="7" width="20.75" customWidth="1"/>
    <col min="8" max="8" width="34.375" customWidth="1"/>
    <col min="9" max="9" width="24.5" customWidth="1"/>
  </cols>
  <sheetData>
    <row r="1" spans="1:9" x14ac:dyDescent="0.35">
      <c r="A1" t="s">
        <v>0</v>
      </c>
      <c r="B1" t="s">
        <v>1</v>
      </c>
      <c r="C1" t="s">
        <v>2</v>
      </c>
      <c r="D1" t="s">
        <v>3</v>
      </c>
      <c r="E1" t="s">
        <v>4</v>
      </c>
      <c r="F1" t="s">
        <v>5</v>
      </c>
      <c r="G1" t="s">
        <v>6</v>
      </c>
      <c r="H1" t="s">
        <v>7</v>
      </c>
      <c r="I1" t="s">
        <v>238</v>
      </c>
    </row>
    <row r="2" spans="1:9" x14ac:dyDescent="0.35">
      <c r="A2" t="s">
        <v>8</v>
      </c>
      <c r="B2" t="s">
        <v>9</v>
      </c>
      <c r="C2" t="s">
        <v>10</v>
      </c>
      <c r="D2" t="s">
        <v>11</v>
      </c>
      <c r="E2" t="s">
        <v>12</v>
      </c>
      <c r="F2" t="s">
        <v>13</v>
      </c>
      <c r="G2" t="s">
        <v>14</v>
      </c>
      <c r="H2">
        <v>58</v>
      </c>
      <c r="I2" t="str">
        <f>IF(H2&gt;24,"Yes","No")</f>
        <v>Yes</v>
      </c>
    </row>
    <row r="3" spans="1:9" x14ac:dyDescent="0.35">
      <c r="A3" t="s">
        <v>15</v>
      </c>
      <c r="B3" t="s">
        <v>16</v>
      </c>
      <c r="C3" t="s">
        <v>17</v>
      </c>
      <c r="D3" t="s">
        <v>18</v>
      </c>
      <c r="E3" t="s">
        <v>19</v>
      </c>
      <c r="G3" t="s">
        <v>20</v>
      </c>
      <c r="I3" t="str">
        <f t="shared" ref="I3:I66" si="0">IF(H3&gt;24,"Yes","No")</f>
        <v>No</v>
      </c>
    </row>
    <row r="4" spans="1:9" x14ac:dyDescent="0.35">
      <c r="A4" t="s">
        <v>21</v>
      </c>
      <c r="B4" t="s">
        <v>9</v>
      </c>
      <c r="C4" t="s">
        <v>17</v>
      </c>
      <c r="D4" t="s">
        <v>11</v>
      </c>
      <c r="E4" t="s">
        <v>22</v>
      </c>
      <c r="F4" t="s">
        <v>23</v>
      </c>
      <c r="G4" t="s">
        <v>24</v>
      </c>
      <c r="H4">
        <v>51</v>
      </c>
      <c r="I4" t="str">
        <f t="shared" si="0"/>
        <v>Yes</v>
      </c>
    </row>
    <row r="5" spans="1:9" x14ac:dyDescent="0.35">
      <c r="A5" t="s">
        <v>25</v>
      </c>
      <c r="B5" t="s">
        <v>9</v>
      </c>
      <c r="C5" t="s">
        <v>26</v>
      </c>
      <c r="D5" t="s">
        <v>18</v>
      </c>
      <c r="E5" t="s">
        <v>27</v>
      </c>
      <c r="G5" t="s">
        <v>20</v>
      </c>
      <c r="I5" t="str">
        <f t="shared" si="0"/>
        <v>No</v>
      </c>
    </row>
    <row r="6" spans="1:9" x14ac:dyDescent="0.35">
      <c r="A6" t="s">
        <v>28</v>
      </c>
      <c r="B6" t="s">
        <v>16</v>
      </c>
      <c r="C6" t="s">
        <v>26</v>
      </c>
      <c r="D6" t="s">
        <v>11</v>
      </c>
      <c r="E6" t="s">
        <v>29</v>
      </c>
      <c r="F6" t="s">
        <v>30</v>
      </c>
      <c r="G6" t="s">
        <v>24</v>
      </c>
      <c r="H6">
        <v>33</v>
      </c>
      <c r="I6" t="str">
        <f t="shared" si="0"/>
        <v>Yes</v>
      </c>
    </row>
    <row r="7" spans="1:9" x14ac:dyDescent="0.35">
      <c r="A7" t="s">
        <v>31</v>
      </c>
      <c r="B7" t="s">
        <v>32</v>
      </c>
      <c r="C7" t="s">
        <v>10</v>
      </c>
      <c r="D7" t="s">
        <v>18</v>
      </c>
      <c r="E7" t="s">
        <v>33</v>
      </c>
      <c r="G7" t="s">
        <v>24</v>
      </c>
      <c r="I7" t="str">
        <f t="shared" si="0"/>
        <v>No</v>
      </c>
    </row>
    <row r="8" spans="1:9" x14ac:dyDescent="0.35">
      <c r="A8" t="s">
        <v>34</v>
      </c>
      <c r="B8" t="s">
        <v>32</v>
      </c>
      <c r="C8" t="s">
        <v>10</v>
      </c>
      <c r="D8" t="s">
        <v>11</v>
      </c>
      <c r="E8" t="s">
        <v>35</v>
      </c>
      <c r="F8" t="s">
        <v>36</v>
      </c>
      <c r="G8" t="s">
        <v>24</v>
      </c>
      <c r="H8">
        <v>34</v>
      </c>
      <c r="I8" t="str">
        <f t="shared" si="0"/>
        <v>Yes</v>
      </c>
    </row>
    <row r="9" spans="1:9" x14ac:dyDescent="0.35">
      <c r="A9" t="s">
        <v>37</v>
      </c>
      <c r="B9" t="s">
        <v>38</v>
      </c>
      <c r="C9" t="s">
        <v>10</v>
      </c>
      <c r="D9" t="s">
        <v>11</v>
      </c>
      <c r="E9" t="s">
        <v>35</v>
      </c>
      <c r="F9" t="s">
        <v>39</v>
      </c>
      <c r="G9" t="s">
        <v>14</v>
      </c>
      <c r="H9">
        <v>30</v>
      </c>
      <c r="I9" t="str">
        <f t="shared" si="0"/>
        <v>Yes</v>
      </c>
    </row>
    <row r="10" spans="1:9" x14ac:dyDescent="0.35">
      <c r="A10" t="s">
        <v>40</v>
      </c>
      <c r="B10" t="s">
        <v>32</v>
      </c>
      <c r="C10" t="s">
        <v>10</v>
      </c>
      <c r="D10" t="s">
        <v>11</v>
      </c>
      <c r="E10" t="s">
        <v>41</v>
      </c>
      <c r="F10" t="s">
        <v>42</v>
      </c>
      <c r="G10" t="s">
        <v>14</v>
      </c>
      <c r="H10">
        <v>27</v>
      </c>
      <c r="I10" t="str">
        <f t="shared" si="0"/>
        <v>Yes</v>
      </c>
    </row>
    <row r="11" spans="1:9" x14ac:dyDescent="0.35">
      <c r="A11" t="s">
        <v>43</v>
      </c>
      <c r="B11" t="s">
        <v>38</v>
      </c>
      <c r="C11" t="s">
        <v>26</v>
      </c>
      <c r="D11" t="s">
        <v>11</v>
      </c>
      <c r="E11" t="s">
        <v>44</v>
      </c>
      <c r="F11" t="s">
        <v>45</v>
      </c>
      <c r="G11" t="s">
        <v>14</v>
      </c>
      <c r="H11">
        <v>28</v>
      </c>
      <c r="I11" t="str">
        <f t="shared" si="0"/>
        <v>Yes</v>
      </c>
    </row>
    <row r="12" spans="1:9" x14ac:dyDescent="0.35">
      <c r="A12" t="s">
        <v>46</v>
      </c>
      <c r="B12" t="s">
        <v>38</v>
      </c>
      <c r="C12" t="s">
        <v>26</v>
      </c>
      <c r="D12" t="s">
        <v>18</v>
      </c>
      <c r="E12" t="s">
        <v>47</v>
      </c>
      <c r="G12" t="s">
        <v>24</v>
      </c>
      <c r="I12" t="str">
        <f t="shared" si="0"/>
        <v>No</v>
      </c>
    </row>
    <row r="13" spans="1:9" x14ac:dyDescent="0.35">
      <c r="A13" t="s">
        <v>48</v>
      </c>
      <c r="B13" t="s">
        <v>38</v>
      </c>
      <c r="C13" t="s">
        <v>17</v>
      </c>
      <c r="D13" t="s">
        <v>18</v>
      </c>
      <c r="E13" t="s">
        <v>41</v>
      </c>
      <c r="G13" t="s">
        <v>24</v>
      </c>
      <c r="I13" t="str">
        <f t="shared" si="0"/>
        <v>No</v>
      </c>
    </row>
    <row r="14" spans="1:9" x14ac:dyDescent="0.35">
      <c r="A14" t="s">
        <v>49</v>
      </c>
      <c r="B14" t="s">
        <v>9</v>
      </c>
      <c r="C14" t="s">
        <v>26</v>
      </c>
      <c r="D14" t="s">
        <v>11</v>
      </c>
      <c r="E14" t="s">
        <v>50</v>
      </c>
      <c r="F14" t="s">
        <v>51</v>
      </c>
      <c r="G14" t="s">
        <v>20</v>
      </c>
      <c r="H14">
        <v>24</v>
      </c>
      <c r="I14" t="str">
        <f t="shared" si="0"/>
        <v>No</v>
      </c>
    </row>
    <row r="15" spans="1:9" x14ac:dyDescent="0.35">
      <c r="A15" t="s">
        <v>52</v>
      </c>
      <c r="B15" t="s">
        <v>32</v>
      </c>
      <c r="C15" t="s">
        <v>26</v>
      </c>
      <c r="D15" t="s">
        <v>11</v>
      </c>
      <c r="E15" t="s">
        <v>53</v>
      </c>
      <c r="F15" t="s">
        <v>54</v>
      </c>
      <c r="G15" t="s">
        <v>20</v>
      </c>
      <c r="H15">
        <v>59</v>
      </c>
      <c r="I15" t="str">
        <f t="shared" si="0"/>
        <v>Yes</v>
      </c>
    </row>
    <row r="16" spans="1:9" x14ac:dyDescent="0.35">
      <c r="A16" t="s">
        <v>55</v>
      </c>
      <c r="B16" t="s">
        <v>38</v>
      </c>
      <c r="C16" t="s">
        <v>26</v>
      </c>
      <c r="D16" t="s">
        <v>18</v>
      </c>
      <c r="E16" t="s">
        <v>56</v>
      </c>
      <c r="G16" t="s">
        <v>14</v>
      </c>
      <c r="I16" t="str">
        <f t="shared" si="0"/>
        <v>No</v>
      </c>
    </row>
    <row r="17" spans="1:9" x14ac:dyDescent="0.35">
      <c r="A17" t="s">
        <v>57</v>
      </c>
      <c r="B17" t="s">
        <v>16</v>
      </c>
      <c r="C17" t="s">
        <v>10</v>
      </c>
      <c r="D17" t="s">
        <v>18</v>
      </c>
      <c r="E17" t="s">
        <v>58</v>
      </c>
      <c r="G17" t="s">
        <v>14</v>
      </c>
      <c r="I17" t="str">
        <f t="shared" si="0"/>
        <v>No</v>
      </c>
    </row>
    <row r="18" spans="1:9" x14ac:dyDescent="0.35">
      <c r="A18" t="s">
        <v>59</v>
      </c>
      <c r="B18" t="s">
        <v>9</v>
      </c>
      <c r="C18" t="s">
        <v>10</v>
      </c>
      <c r="D18" t="s">
        <v>11</v>
      </c>
      <c r="E18" t="s">
        <v>60</v>
      </c>
      <c r="F18" t="s">
        <v>61</v>
      </c>
      <c r="G18" t="s">
        <v>62</v>
      </c>
      <c r="H18">
        <v>17</v>
      </c>
      <c r="I18" t="str">
        <f t="shared" si="0"/>
        <v>No</v>
      </c>
    </row>
    <row r="19" spans="1:9" x14ac:dyDescent="0.35">
      <c r="A19" t="s">
        <v>63</v>
      </c>
      <c r="B19" t="s">
        <v>64</v>
      </c>
      <c r="C19" t="s">
        <v>26</v>
      </c>
      <c r="D19" t="s">
        <v>18</v>
      </c>
      <c r="E19" t="s">
        <v>65</v>
      </c>
      <c r="G19" t="s">
        <v>62</v>
      </c>
      <c r="I19" t="str">
        <f t="shared" si="0"/>
        <v>No</v>
      </c>
    </row>
    <row r="20" spans="1:9" x14ac:dyDescent="0.35">
      <c r="A20" t="s">
        <v>66</v>
      </c>
      <c r="B20" t="s">
        <v>64</v>
      </c>
      <c r="C20" t="s">
        <v>26</v>
      </c>
      <c r="D20" t="s">
        <v>18</v>
      </c>
      <c r="E20" t="s">
        <v>67</v>
      </c>
      <c r="G20" t="s">
        <v>14</v>
      </c>
      <c r="I20" t="str">
        <f t="shared" si="0"/>
        <v>No</v>
      </c>
    </row>
    <row r="21" spans="1:9" x14ac:dyDescent="0.35">
      <c r="A21" t="s">
        <v>68</v>
      </c>
      <c r="B21" t="s">
        <v>32</v>
      </c>
      <c r="C21" t="s">
        <v>26</v>
      </c>
      <c r="D21" t="s">
        <v>11</v>
      </c>
      <c r="E21" t="s">
        <v>69</v>
      </c>
      <c r="F21" t="s">
        <v>70</v>
      </c>
      <c r="G21" t="s">
        <v>62</v>
      </c>
      <c r="H21">
        <v>32</v>
      </c>
      <c r="I21" t="str">
        <f t="shared" si="0"/>
        <v>Yes</v>
      </c>
    </row>
    <row r="22" spans="1:9" x14ac:dyDescent="0.35">
      <c r="A22" t="s">
        <v>71</v>
      </c>
      <c r="B22" t="s">
        <v>38</v>
      </c>
      <c r="C22" t="s">
        <v>26</v>
      </c>
      <c r="D22" t="s">
        <v>18</v>
      </c>
      <c r="E22" t="s">
        <v>72</v>
      </c>
      <c r="G22" t="s">
        <v>14</v>
      </c>
      <c r="I22" t="str">
        <f t="shared" si="0"/>
        <v>No</v>
      </c>
    </row>
    <row r="23" spans="1:9" x14ac:dyDescent="0.35">
      <c r="A23" t="s">
        <v>73</v>
      </c>
      <c r="B23" t="s">
        <v>9</v>
      </c>
      <c r="C23" t="s">
        <v>17</v>
      </c>
      <c r="D23" t="s">
        <v>11</v>
      </c>
      <c r="E23" t="s">
        <v>35</v>
      </c>
      <c r="F23" t="s">
        <v>74</v>
      </c>
      <c r="G23" t="s">
        <v>20</v>
      </c>
      <c r="H23">
        <v>29</v>
      </c>
      <c r="I23" t="str">
        <f t="shared" si="0"/>
        <v>Yes</v>
      </c>
    </row>
    <row r="24" spans="1:9" x14ac:dyDescent="0.35">
      <c r="A24" t="s">
        <v>75</v>
      </c>
      <c r="B24" t="s">
        <v>64</v>
      </c>
      <c r="C24" t="s">
        <v>26</v>
      </c>
      <c r="D24" t="s">
        <v>11</v>
      </c>
      <c r="E24" t="s">
        <v>35</v>
      </c>
      <c r="F24" t="s">
        <v>76</v>
      </c>
      <c r="G24" t="s">
        <v>14</v>
      </c>
      <c r="H24">
        <v>56</v>
      </c>
      <c r="I24" t="str">
        <f t="shared" si="0"/>
        <v>Yes</v>
      </c>
    </row>
    <row r="25" spans="1:9" x14ac:dyDescent="0.35">
      <c r="A25" t="s">
        <v>77</v>
      </c>
      <c r="B25" t="s">
        <v>16</v>
      </c>
      <c r="C25" t="s">
        <v>10</v>
      </c>
      <c r="D25" t="s">
        <v>11</v>
      </c>
      <c r="E25" t="s">
        <v>78</v>
      </c>
      <c r="F25" t="s">
        <v>79</v>
      </c>
      <c r="G25" t="s">
        <v>20</v>
      </c>
      <c r="H25">
        <v>7</v>
      </c>
      <c r="I25" t="str">
        <f t="shared" si="0"/>
        <v>No</v>
      </c>
    </row>
    <row r="26" spans="1:9" x14ac:dyDescent="0.35">
      <c r="A26" t="s">
        <v>80</v>
      </c>
      <c r="B26" t="s">
        <v>9</v>
      </c>
      <c r="C26" t="s">
        <v>26</v>
      </c>
      <c r="D26" t="s">
        <v>11</v>
      </c>
      <c r="E26" t="s">
        <v>78</v>
      </c>
      <c r="F26" t="s">
        <v>81</v>
      </c>
      <c r="G26" t="s">
        <v>14</v>
      </c>
      <c r="H26">
        <v>59</v>
      </c>
      <c r="I26" t="str">
        <f t="shared" si="0"/>
        <v>Yes</v>
      </c>
    </row>
    <row r="27" spans="1:9" x14ac:dyDescent="0.35">
      <c r="A27" t="s">
        <v>82</v>
      </c>
      <c r="B27" t="s">
        <v>64</v>
      </c>
      <c r="C27" t="s">
        <v>26</v>
      </c>
      <c r="D27" t="s">
        <v>18</v>
      </c>
      <c r="E27" t="s">
        <v>83</v>
      </c>
      <c r="G27" t="s">
        <v>20</v>
      </c>
      <c r="I27" t="str">
        <f t="shared" si="0"/>
        <v>No</v>
      </c>
    </row>
    <row r="28" spans="1:9" x14ac:dyDescent="0.35">
      <c r="A28" t="s">
        <v>84</v>
      </c>
      <c r="B28" t="s">
        <v>64</v>
      </c>
      <c r="C28" t="s">
        <v>17</v>
      </c>
      <c r="D28" t="s">
        <v>18</v>
      </c>
      <c r="E28" t="s">
        <v>85</v>
      </c>
      <c r="G28" t="s">
        <v>20</v>
      </c>
      <c r="I28" t="str">
        <f t="shared" si="0"/>
        <v>No</v>
      </c>
    </row>
    <row r="29" spans="1:9" x14ac:dyDescent="0.35">
      <c r="A29" t="s">
        <v>86</v>
      </c>
      <c r="B29" t="s">
        <v>38</v>
      </c>
      <c r="C29" t="s">
        <v>26</v>
      </c>
      <c r="D29" t="s">
        <v>18</v>
      </c>
      <c r="E29" t="s">
        <v>87</v>
      </c>
      <c r="G29" t="s">
        <v>14</v>
      </c>
      <c r="I29" t="str">
        <f t="shared" si="0"/>
        <v>No</v>
      </c>
    </row>
    <row r="30" spans="1:9" x14ac:dyDescent="0.35">
      <c r="A30" t="s">
        <v>88</v>
      </c>
      <c r="B30" t="s">
        <v>64</v>
      </c>
      <c r="C30" t="s">
        <v>10</v>
      </c>
      <c r="D30" t="s">
        <v>18</v>
      </c>
      <c r="E30" t="s">
        <v>51</v>
      </c>
      <c r="G30" t="s">
        <v>24</v>
      </c>
      <c r="I30" t="str">
        <f t="shared" si="0"/>
        <v>No</v>
      </c>
    </row>
    <row r="31" spans="1:9" x14ac:dyDescent="0.35">
      <c r="A31" t="s">
        <v>89</v>
      </c>
      <c r="B31" t="s">
        <v>32</v>
      </c>
      <c r="C31" t="s">
        <v>17</v>
      </c>
      <c r="D31" t="s">
        <v>11</v>
      </c>
      <c r="E31" t="s">
        <v>56</v>
      </c>
      <c r="F31" t="s">
        <v>90</v>
      </c>
      <c r="G31" t="s">
        <v>24</v>
      </c>
      <c r="H31">
        <v>29</v>
      </c>
      <c r="I31" t="str">
        <f t="shared" si="0"/>
        <v>Yes</v>
      </c>
    </row>
    <row r="32" spans="1:9" x14ac:dyDescent="0.35">
      <c r="A32" t="s">
        <v>91</v>
      </c>
      <c r="B32" t="s">
        <v>64</v>
      </c>
      <c r="C32" t="s">
        <v>17</v>
      </c>
      <c r="D32" t="s">
        <v>11</v>
      </c>
      <c r="E32" t="s">
        <v>92</v>
      </c>
      <c r="F32" t="s">
        <v>93</v>
      </c>
      <c r="G32" t="s">
        <v>20</v>
      </c>
      <c r="H32">
        <v>2</v>
      </c>
      <c r="I32" t="str">
        <f t="shared" si="0"/>
        <v>No</v>
      </c>
    </row>
    <row r="33" spans="1:9" x14ac:dyDescent="0.35">
      <c r="A33" t="s">
        <v>94</v>
      </c>
      <c r="B33" t="s">
        <v>38</v>
      </c>
      <c r="C33" t="s">
        <v>17</v>
      </c>
      <c r="D33" t="s">
        <v>11</v>
      </c>
      <c r="E33" t="s">
        <v>33</v>
      </c>
      <c r="F33" t="s">
        <v>95</v>
      </c>
      <c r="G33" t="s">
        <v>62</v>
      </c>
      <c r="H33">
        <v>49</v>
      </c>
      <c r="I33" t="str">
        <f t="shared" si="0"/>
        <v>Yes</v>
      </c>
    </row>
    <row r="34" spans="1:9" x14ac:dyDescent="0.35">
      <c r="A34" t="s">
        <v>96</v>
      </c>
      <c r="B34" t="s">
        <v>32</v>
      </c>
      <c r="C34" t="s">
        <v>26</v>
      </c>
      <c r="D34" t="s">
        <v>11</v>
      </c>
      <c r="E34" t="s">
        <v>97</v>
      </c>
      <c r="F34" t="s">
        <v>98</v>
      </c>
      <c r="G34" t="s">
        <v>20</v>
      </c>
      <c r="H34">
        <v>50</v>
      </c>
      <c r="I34" t="str">
        <f t="shared" si="0"/>
        <v>Yes</v>
      </c>
    </row>
    <row r="35" spans="1:9" x14ac:dyDescent="0.35">
      <c r="A35" t="s">
        <v>99</v>
      </c>
      <c r="B35" t="s">
        <v>9</v>
      </c>
      <c r="C35" t="s">
        <v>10</v>
      </c>
      <c r="D35" t="s">
        <v>18</v>
      </c>
      <c r="E35" t="s">
        <v>67</v>
      </c>
      <c r="G35" t="s">
        <v>14</v>
      </c>
      <c r="I35" t="str">
        <f t="shared" si="0"/>
        <v>No</v>
      </c>
    </row>
    <row r="36" spans="1:9" x14ac:dyDescent="0.35">
      <c r="A36" t="s">
        <v>100</v>
      </c>
      <c r="B36" t="s">
        <v>32</v>
      </c>
      <c r="C36" t="s">
        <v>10</v>
      </c>
      <c r="D36" t="s">
        <v>11</v>
      </c>
      <c r="E36" t="s">
        <v>60</v>
      </c>
      <c r="F36" t="s">
        <v>101</v>
      </c>
      <c r="G36" t="s">
        <v>62</v>
      </c>
      <c r="H36">
        <v>67</v>
      </c>
      <c r="I36" t="str">
        <f t="shared" si="0"/>
        <v>Yes</v>
      </c>
    </row>
    <row r="37" spans="1:9" x14ac:dyDescent="0.35">
      <c r="A37" t="s">
        <v>102</v>
      </c>
      <c r="B37" t="s">
        <v>38</v>
      </c>
      <c r="C37" t="s">
        <v>17</v>
      </c>
      <c r="D37" t="s">
        <v>11</v>
      </c>
      <c r="E37" t="s">
        <v>103</v>
      </c>
      <c r="F37" t="s">
        <v>104</v>
      </c>
      <c r="G37" t="s">
        <v>62</v>
      </c>
      <c r="H37">
        <v>30</v>
      </c>
      <c r="I37" t="str">
        <f t="shared" si="0"/>
        <v>Yes</v>
      </c>
    </row>
    <row r="38" spans="1:9" x14ac:dyDescent="0.35">
      <c r="A38" t="s">
        <v>105</v>
      </c>
      <c r="B38" t="s">
        <v>9</v>
      </c>
      <c r="C38" t="s">
        <v>10</v>
      </c>
      <c r="D38" t="s">
        <v>11</v>
      </c>
      <c r="E38" t="s">
        <v>41</v>
      </c>
      <c r="F38" t="s">
        <v>106</v>
      </c>
      <c r="G38" t="s">
        <v>62</v>
      </c>
      <c r="H38">
        <v>46</v>
      </c>
      <c r="I38" t="str">
        <f t="shared" si="0"/>
        <v>Yes</v>
      </c>
    </row>
    <row r="39" spans="1:9" x14ac:dyDescent="0.35">
      <c r="A39" t="s">
        <v>107</v>
      </c>
      <c r="B39" t="s">
        <v>16</v>
      </c>
      <c r="C39" t="s">
        <v>26</v>
      </c>
      <c r="D39" t="s">
        <v>11</v>
      </c>
      <c r="E39" t="s">
        <v>108</v>
      </c>
      <c r="F39" t="s">
        <v>109</v>
      </c>
      <c r="G39" t="s">
        <v>62</v>
      </c>
      <c r="H39">
        <v>47</v>
      </c>
      <c r="I39" t="str">
        <f t="shared" si="0"/>
        <v>Yes</v>
      </c>
    </row>
    <row r="40" spans="1:9" x14ac:dyDescent="0.35">
      <c r="A40" t="s">
        <v>110</v>
      </c>
      <c r="B40" t="s">
        <v>38</v>
      </c>
      <c r="C40" t="s">
        <v>17</v>
      </c>
      <c r="D40" t="s">
        <v>11</v>
      </c>
      <c r="E40" t="s">
        <v>111</v>
      </c>
      <c r="F40" t="s">
        <v>112</v>
      </c>
      <c r="G40" t="s">
        <v>20</v>
      </c>
      <c r="H40">
        <v>51</v>
      </c>
      <c r="I40" t="str">
        <f t="shared" si="0"/>
        <v>Yes</v>
      </c>
    </row>
    <row r="41" spans="1:9" x14ac:dyDescent="0.35">
      <c r="A41" t="s">
        <v>113</v>
      </c>
      <c r="B41" t="s">
        <v>38</v>
      </c>
      <c r="C41" t="s">
        <v>26</v>
      </c>
      <c r="D41" t="s">
        <v>11</v>
      </c>
      <c r="E41" t="s">
        <v>72</v>
      </c>
      <c r="F41" t="s">
        <v>114</v>
      </c>
      <c r="G41" t="s">
        <v>20</v>
      </c>
      <c r="H41">
        <v>31</v>
      </c>
      <c r="I41" t="str">
        <f t="shared" si="0"/>
        <v>Yes</v>
      </c>
    </row>
    <row r="42" spans="1:9" x14ac:dyDescent="0.35">
      <c r="A42" t="s">
        <v>115</v>
      </c>
      <c r="B42" t="s">
        <v>38</v>
      </c>
      <c r="C42" t="s">
        <v>10</v>
      </c>
      <c r="D42" t="s">
        <v>11</v>
      </c>
      <c r="E42" t="s">
        <v>116</v>
      </c>
      <c r="F42" t="s">
        <v>117</v>
      </c>
      <c r="G42" t="s">
        <v>62</v>
      </c>
      <c r="H42">
        <v>60</v>
      </c>
      <c r="I42" t="str">
        <f t="shared" si="0"/>
        <v>Yes</v>
      </c>
    </row>
    <row r="43" spans="1:9" x14ac:dyDescent="0.35">
      <c r="A43" t="s">
        <v>118</v>
      </c>
      <c r="B43" t="s">
        <v>32</v>
      </c>
      <c r="C43" t="s">
        <v>17</v>
      </c>
      <c r="D43" t="s">
        <v>11</v>
      </c>
      <c r="E43" t="s">
        <v>119</v>
      </c>
      <c r="F43" t="s">
        <v>120</v>
      </c>
      <c r="G43" t="s">
        <v>24</v>
      </c>
      <c r="H43">
        <v>46</v>
      </c>
      <c r="I43" t="str">
        <f t="shared" si="0"/>
        <v>Yes</v>
      </c>
    </row>
    <row r="44" spans="1:9" x14ac:dyDescent="0.35">
      <c r="A44" t="s">
        <v>121</v>
      </c>
      <c r="B44" t="s">
        <v>38</v>
      </c>
      <c r="C44" t="s">
        <v>10</v>
      </c>
      <c r="D44" t="s">
        <v>11</v>
      </c>
      <c r="E44" t="s">
        <v>47</v>
      </c>
      <c r="F44" t="s">
        <v>122</v>
      </c>
      <c r="G44" t="s">
        <v>14</v>
      </c>
      <c r="H44">
        <v>59</v>
      </c>
      <c r="I44" t="str">
        <f t="shared" si="0"/>
        <v>Yes</v>
      </c>
    </row>
    <row r="45" spans="1:9" x14ac:dyDescent="0.35">
      <c r="A45" t="s">
        <v>123</v>
      </c>
      <c r="B45" t="s">
        <v>38</v>
      </c>
      <c r="C45" t="s">
        <v>17</v>
      </c>
      <c r="D45" t="s">
        <v>11</v>
      </c>
      <c r="E45" t="s">
        <v>50</v>
      </c>
      <c r="F45" t="s">
        <v>124</v>
      </c>
      <c r="G45" t="s">
        <v>20</v>
      </c>
      <c r="H45">
        <v>61</v>
      </c>
      <c r="I45" t="str">
        <f t="shared" si="0"/>
        <v>Yes</v>
      </c>
    </row>
    <row r="46" spans="1:9" x14ac:dyDescent="0.35">
      <c r="A46" t="s">
        <v>125</v>
      </c>
      <c r="B46" t="s">
        <v>38</v>
      </c>
      <c r="C46" t="s">
        <v>10</v>
      </c>
      <c r="D46" t="s">
        <v>11</v>
      </c>
      <c r="E46" t="s">
        <v>29</v>
      </c>
      <c r="F46" t="s">
        <v>126</v>
      </c>
      <c r="G46" t="s">
        <v>24</v>
      </c>
      <c r="H46">
        <v>67</v>
      </c>
      <c r="I46" t="str">
        <f t="shared" si="0"/>
        <v>Yes</v>
      </c>
    </row>
    <row r="47" spans="1:9" x14ac:dyDescent="0.35">
      <c r="A47" t="s">
        <v>127</v>
      </c>
      <c r="B47" t="s">
        <v>38</v>
      </c>
      <c r="C47" t="s">
        <v>10</v>
      </c>
      <c r="D47" t="s">
        <v>11</v>
      </c>
      <c r="E47" t="s">
        <v>128</v>
      </c>
      <c r="F47" t="s">
        <v>129</v>
      </c>
      <c r="G47" t="s">
        <v>24</v>
      </c>
      <c r="H47">
        <v>66</v>
      </c>
      <c r="I47" t="str">
        <f t="shared" si="0"/>
        <v>Yes</v>
      </c>
    </row>
    <row r="48" spans="1:9" x14ac:dyDescent="0.35">
      <c r="A48" t="s">
        <v>130</v>
      </c>
      <c r="B48" t="s">
        <v>9</v>
      </c>
      <c r="C48" t="s">
        <v>26</v>
      </c>
      <c r="D48" t="s">
        <v>11</v>
      </c>
      <c r="E48" t="s">
        <v>131</v>
      </c>
      <c r="F48" t="s">
        <v>132</v>
      </c>
      <c r="G48" t="s">
        <v>62</v>
      </c>
      <c r="H48">
        <v>4</v>
      </c>
      <c r="I48" t="str">
        <f t="shared" si="0"/>
        <v>No</v>
      </c>
    </row>
    <row r="49" spans="1:9" x14ac:dyDescent="0.35">
      <c r="A49" t="s">
        <v>133</v>
      </c>
      <c r="B49" t="s">
        <v>9</v>
      </c>
      <c r="C49" t="s">
        <v>17</v>
      </c>
      <c r="D49" t="s">
        <v>18</v>
      </c>
      <c r="E49" t="s">
        <v>134</v>
      </c>
      <c r="G49" t="s">
        <v>62</v>
      </c>
      <c r="I49" t="str">
        <f t="shared" si="0"/>
        <v>No</v>
      </c>
    </row>
    <row r="50" spans="1:9" x14ac:dyDescent="0.35">
      <c r="A50" t="s">
        <v>135</v>
      </c>
      <c r="B50" t="s">
        <v>9</v>
      </c>
      <c r="C50" t="s">
        <v>26</v>
      </c>
      <c r="D50" t="s">
        <v>18</v>
      </c>
      <c r="E50" t="s">
        <v>33</v>
      </c>
      <c r="G50" t="s">
        <v>24</v>
      </c>
      <c r="I50" t="str">
        <f t="shared" si="0"/>
        <v>No</v>
      </c>
    </row>
    <row r="51" spans="1:9" x14ac:dyDescent="0.35">
      <c r="A51" t="s">
        <v>136</v>
      </c>
      <c r="B51" t="s">
        <v>9</v>
      </c>
      <c r="C51" t="s">
        <v>17</v>
      </c>
      <c r="D51" t="s">
        <v>18</v>
      </c>
      <c r="E51" t="s">
        <v>137</v>
      </c>
      <c r="G51" t="s">
        <v>20</v>
      </c>
      <c r="I51" t="str">
        <f t="shared" si="0"/>
        <v>No</v>
      </c>
    </row>
    <row r="52" spans="1:9" x14ac:dyDescent="0.35">
      <c r="A52" t="s">
        <v>138</v>
      </c>
      <c r="B52" t="s">
        <v>16</v>
      </c>
      <c r="C52" t="s">
        <v>26</v>
      </c>
      <c r="D52" t="s">
        <v>11</v>
      </c>
      <c r="E52" t="s">
        <v>29</v>
      </c>
      <c r="F52" t="s">
        <v>139</v>
      </c>
      <c r="G52" t="s">
        <v>62</v>
      </c>
      <c r="H52">
        <v>64</v>
      </c>
      <c r="I52" t="str">
        <f t="shared" si="0"/>
        <v>Yes</v>
      </c>
    </row>
    <row r="53" spans="1:9" x14ac:dyDescent="0.35">
      <c r="A53" t="s">
        <v>140</v>
      </c>
      <c r="B53" t="s">
        <v>9</v>
      </c>
      <c r="C53" t="s">
        <v>10</v>
      </c>
      <c r="D53" t="s">
        <v>11</v>
      </c>
      <c r="E53" t="s">
        <v>141</v>
      </c>
      <c r="F53" t="s">
        <v>142</v>
      </c>
      <c r="G53" t="s">
        <v>20</v>
      </c>
      <c r="H53">
        <v>63</v>
      </c>
      <c r="I53" t="str">
        <f t="shared" si="0"/>
        <v>Yes</v>
      </c>
    </row>
    <row r="54" spans="1:9" x14ac:dyDescent="0.35">
      <c r="A54" t="s">
        <v>143</v>
      </c>
      <c r="B54" t="s">
        <v>32</v>
      </c>
      <c r="C54" t="s">
        <v>10</v>
      </c>
      <c r="D54" t="s">
        <v>18</v>
      </c>
      <c r="E54" t="s">
        <v>144</v>
      </c>
      <c r="G54" t="s">
        <v>62</v>
      </c>
      <c r="I54" t="str">
        <f t="shared" si="0"/>
        <v>No</v>
      </c>
    </row>
    <row r="55" spans="1:9" x14ac:dyDescent="0.35">
      <c r="A55" t="s">
        <v>145</v>
      </c>
      <c r="B55" t="s">
        <v>16</v>
      </c>
      <c r="C55" t="s">
        <v>10</v>
      </c>
      <c r="D55" t="s">
        <v>11</v>
      </c>
      <c r="E55" t="s">
        <v>146</v>
      </c>
      <c r="F55" t="s">
        <v>147</v>
      </c>
      <c r="G55" t="s">
        <v>62</v>
      </c>
      <c r="H55">
        <v>40</v>
      </c>
      <c r="I55" t="str">
        <f t="shared" si="0"/>
        <v>Yes</v>
      </c>
    </row>
    <row r="56" spans="1:9" x14ac:dyDescent="0.35">
      <c r="A56" t="s">
        <v>148</v>
      </c>
      <c r="B56" t="s">
        <v>32</v>
      </c>
      <c r="C56" t="s">
        <v>10</v>
      </c>
      <c r="D56" t="s">
        <v>11</v>
      </c>
      <c r="E56" t="s">
        <v>12</v>
      </c>
      <c r="F56" t="s">
        <v>149</v>
      </c>
      <c r="G56" t="s">
        <v>24</v>
      </c>
      <c r="H56">
        <v>12</v>
      </c>
      <c r="I56" t="str">
        <f t="shared" si="0"/>
        <v>No</v>
      </c>
    </row>
    <row r="57" spans="1:9" x14ac:dyDescent="0.35">
      <c r="A57" t="s">
        <v>150</v>
      </c>
      <c r="B57" t="s">
        <v>32</v>
      </c>
      <c r="C57" t="s">
        <v>26</v>
      </c>
      <c r="D57" t="s">
        <v>11</v>
      </c>
      <c r="E57" t="s">
        <v>151</v>
      </c>
      <c r="F57" t="s">
        <v>152</v>
      </c>
      <c r="G57" t="s">
        <v>14</v>
      </c>
      <c r="H57">
        <v>56</v>
      </c>
      <c r="I57" t="str">
        <f t="shared" si="0"/>
        <v>Yes</v>
      </c>
    </row>
    <row r="58" spans="1:9" x14ac:dyDescent="0.35">
      <c r="A58" t="s">
        <v>153</v>
      </c>
      <c r="B58" t="s">
        <v>9</v>
      </c>
      <c r="C58" t="s">
        <v>10</v>
      </c>
      <c r="D58" t="s">
        <v>18</v>
      </c>
      <c r="E58" t="s">
        <v>154</v>
      </c>
      <c r="G58" t="s">
        <v>62</v>
      </c>
      <c r="I58" t="str">
        <f t="shared" si="0"/>
        <v>No</v>
      </c>
    </row>
    <row r="59" spans="1:9" x14ac:dyDescent="0.35">
      <c r="A59" t="s">
        <v>155</v>
      </c>
      <c r="B59" t="s">
        <v>9</v>
      </c>
      <c r="C59" t="s">
        <v>17</v>
      </c>
      <c r="D59" t="s">
        <v>11</v>
      </c>
      <c r="E59" t="s">
        <v>19</v>
      </c>
      <c r="F59" t="s">
        <v>156</v>
      </c>
      <c r="G59" t="s">
        <v>14</v>
      </c>
      <c r="H59">
        <v>44</v>
      </c>
      <c r="I59" t="str">
        <f t="shared" si="0"/>
        <v>Yes</v>
      </c>
    </row>
    <row r="60" spans="1:9" x14ac:dyDescent="0.35">
      <c r="A60" t="s">
        <v>157</v>
      </c>
      <c r="B60" t="s">
        <v>32</v>
      </c>
      <c r="C60" t="s">
        <v>26</v>
      </c>
      <c r="D60" t="s">
        <v>18</v>
      </c>
      <c r="E60" t="s">
        <v>85</v>
      </c>
      <c r="G60" t="s">
        <v>24</v>
      </c>
      <c r="I60" t="str">
        <f t="shared" si="0"/>
        <v>No</v>
      </c>
    </row>
    <row r="61" spans="1:9" x14ac:dyDescent="0.35">
      <c r="A61" t="s">
        <v>158</v>
      </c>
      <c r="B61" t="s">
        <v>9</v>
      </c>
      <c r="C61" t="s">
        <v>10</v>
      </c>
      <c r="D61" t="s">
        <v>11</v>
      </c>
      <c r="E61" t="s">
        <v>159</v>
      </c>
      <c r="F61" t="s">
        <v>160</v>
      </c>
      <c r="G61" t="s">
        <v>14</v>
      </c>
      <c r="H61">
        <v>67</v>
      </c>
      <c r="I61" t="str">
        <f t="shared" si="0"/>
        <v>Yes</v>
      </c>
    </row>
    <row r="62" spans="1:9" x14ac:dyDescent="0.35">
      <c r="A62" t="s">
        <v>161</v>
      </c>
      <c r="B62" t="s">
        <v>38</v>
      </c>
      <c r="C62" t="s">
        <v>26</v>
      </c>
      <c r="D62" t="s">
        <v>11</v>
      </c>
      <c r="E62" t="s">
        <v>162</v>
      </c>
      <c r="F62" t="s">
        <v>163</v>
      </c>
      <c r="G62" t="s">
        <v>62</v>
      </c>
      <c r="H62">
        <v>63</v>
      </c>
      <c r="I62" t="str">
        <f t="shared" si="0"/>
        <v>Yes</v>
      </c>
    </row>
    <row r="63" spans="1:9" x14ac:dyDescent="0.35">
      <c r="A63" t="s">
        <v>164</v>
      </c>
      <c r="B63" t="s">
        <v>38</v>
      </c>
      <c r="C63" t="s">
        <v>10</v>
      </c>
      <c r="D63" t="s">
        <v>11</v>
      </c>
      <c r="E63" t="s">
        <v>22</v>
      </c>
      <c r="F63" t="s">
        <v>165</v>
      </c>
      <c r="G63" t="s">
        <v>14</v>
      </c>
      <c r="H63">
        <v>57</v>
      </c>
      <c r="I63" t="str">
        <f t="shared" si="0"/>
        <v>Yes</v>
      </c>
    </row>
    <row r="64" spans="1:9" x14ac:dyDescent="0.35">
      <c r="A64" t="s">
        <v>166</v>
      </c>
      <c r="B64" t="s">
        <v>38</v>
      </c>
      <c r="C64" t="s">
        <v>17</v>
      </c>
      <c r="D64" t="s">
        <v>18</v>
      </c>
      <c r="E64" t="s">
        <v>167</v>
      </c>
      <c r="G64" t="s">
        <v>20</v>
      </c>
      <c r="I64" t="str">
        <f t="shared" si="0"/>
        <v>No</v>
      </c>
    </row>
    <row r="65" spans="1:9" x14ac:dyDescent="0.35">
      <c r="A65" t="s">
        <v>168</v>
      </c>
      <c r="B65" t="s">
        <v>64</v>
      </c>
      <c r="C65" t="s">
        <v>26</v>
      </c>
      <c r="D65" t="s">
        <v>11</v>
      </c>
      <c r="E65" t="s">
        <v>87</v>
      </c>
      <c r="F65" t="s">
        <v>162</v>
      </c>
      <c r="G65" t="s">
        <v>62</v>
      </c>
      <c r="H65">
        <v>72</v>
      </c>
      <c r="I65" t="str">
        <f t="shared" si="0"/>
        <v>Yes</v>
      </c>
    </row>
    <row r="66" spans="1:9" x14ac:dyDescent="0.35">
      <c r="A66" t="s">
        <v>169</v>
      </c>
      <c r="B66" t="s">
        <v>38</v>
      </c>
      <c r="C66" t="s">
        <v>26</v>
      </c>
      <c r="D66" t="s">
        <v>18</v>
      </c>
      <c r="E66" t="s">
        <v>67</v>
      </c>
      <c r="G66" t="s">
        <v>20</v>
      </c>
      <c r="I66" t="str">
        <f t="shared" si="0"/>
        <v>No</v>
      </c>
    </row>
    <row r="67" spans="1:9" x14ac:dyDescent="0.35">
      <c r="A67" t="s">
        <v>170</v>
      </c>
      <c r="B67" t="s">
        <v>38</v>
      </c>
      <c r="C67" t="s">
        <v>10</v>
      </c>
      <c r="D67" t="s">
        <v>18</v>
      </c>
      <c r="E67" t="s">
        <v>171</v>
      </c>
      <c r="G67" t="s">
        <v>20</v>
      </c>
      <c r="I67" t="str">
        <f t="shared" ref="I67:I101" si="1">IF(H67&gt;24,"Yes","No")</f>
        <v>No</v>
      </c>
    </row>
    <row r="68" spans="1:9" x14ac:dyDescent="0.35">
      <c r="A68" t="s">
        <v>172</v>
      </c>
      <c r="B68" t="s">
        <v>16</v>
      </c>
      <c r="C68" t="s">
        <v>10</v>
      </c>
      <c r="D68" t="s">
        <v>18</v>
      </c>
      <c r="E68" t="s">
        <v>27</v>
      </c>
      <c r="G68" t="s">
        <v>24</v>
      </c>
      <c r="I68" t="str">
        <f t="shared" si="1"/>
        <v>No</v>
      </c>
    </row>
    <row r="69" spans="1:9" x14ac:dyDescent="0.35">
      <c r="A69" t="s">
        <v>173</v>
      </c>
      <c r="B69" t="s">
        <v>38</v>
      </c>
      <c r="C69" t="s">
        <v>10</v>
      </c>
      <c r="D69" t="s">
        <v>11</v>
      </c>
      <c r="E69" t="s">
        <v>33</v>
      </c>
      <c r="F69" t="s">
        <v>174</v>
      </c>
      <c r="G69" t="s">
        <v>20</v>
      </c>
      <c r="H69">
        <v>44</v>
      </c>
      <c r="I69" t="str">
        <f t="shared" si="1"/>
        <v>Yes</v>
      </c>
    </row>
    <row r="70" spans="1:9" x14ac:dyDescent="0.35">
      <c r="A70" t="s">
        <v>175</v>
      </c>
      <c r="B70" t="s">
        <v>32</v>
      </c>
      <c r="C70" t="s">
        <v>17</v>
      </c>
      <c r="D70" t="s">
        <v>11</v>
      </c>
      <c r="E70" t="s">
        <v>171</v>
      </c>
      <c r="F70" t="s">
        <v>176</v>
      </c>
      <c r="G70" t="s">
        <v>14</v>
      </c>
      <c r="H70">
        <v>59</v>
      </c>
      <c r="I70" t="str">
        <f t="shared" si="1"/>
        <v>Yes</v>
      </c>
    </row>
    <row r="71" spans="1:9" x14ac:dyDescent="0.35">
      <c r="A71" t="s">
        <v>177</v>
      </c>
      <c r="B71" t="s">
        <v>32</v>
      </c>
      <c r="C71" t="s">
        <v>10</v>
      </c>
      <c r="D71" t="s">
        <v>18</v>
      </c>
      <c r="E71" t="s">
        <v>178</v>
      </c>
      <c r="G71" t="s">
        <v>62</v>
      </c>
      <c r="I71" t="str">
        <f t="shared" si="1"/>
        <v>No</v>
      </c>
    </row>
    <row r="72" spans="1:9" x14ac:dyDescent="0.35">
      <c r="A72" t="s">
        <v>179</v>
      </c>
      <c r="B72" t="s">
        <v>64</v>
      </c>
      <c r="C72" t="s">
        <v>10</v>
      </c>
      <c r="D72" t="s">
        <v>18</v>
      </c>
      <c r="E72" t="s">
        <v>180</v>
      </c>
      <c r="G72" t="s">
        <v>24</v>
      </c>
      <c r="I72" t="str">
        <f t="shared" si="1"/>
        <v>No</v>
      </c>
    </row>
    <row r="73" spans="1:9" x14ac:dyDescent="0.35">
      <c r="A73" t="s">
        <v>181</v>
      </c>
      <c r="B73" t="s">
        <v>38</v>
      </c>
      <c r="C73" t="s">
        <v>26</v>
      </c>
      <c r="D73" t="s">
        <v>11</v>
      </c>
      <c r="E73" t="s">
        <v>182</v>
      </c>
      <c r="F73" t="s">
        <v>183</v>
      </c>
      <c r="G73" t="s">
        <v>14</v>
      </c>
      <c r="H73">
        <v>11</v>
      </c>
      <c r="I73" t="str">
        <f t="shared" si="1"/>
        <v>No</v>
      </c>
    </row>
    <row r="74" spans="1:9" x14ac:dyDescent="0.35">
      <c r="A74" t="s">
        <v>184</v>
      </c>
      <c r="B74" t="s">
        <v>32</v>
      </c>
      <c r="C74" t="s">
        <v>26</v>
      </c>
      <c r="D74" t="s">
        <v>11</v>
      </c>
      <c r="E74" t="s">
        <v>87</v>
      </c>
      <c r="F74" t="s">
        <v>185</v>
      </c>
      <c r="G74" t="s">
        <v>24</v>
      </c>
      <c r="H74">
        <v>7</v>
      </c>
      <c r="I74" t="str">
        <f t="shared" si="1"/>
        <v>No</v>
      </c>
    </row>
    <row r="75" spans="1:9" x14ac:dyDescent="0.35">
      <c r="A75" t="s">
        <v>186</v>
      </c>
      <c r="B75" t="s">
        <v>38</v>
      </c>
      <c r="C75" t="s">
        <v>26</v>
      </c>
      <c r="D75" t="s">
        <v>11</v>
      </c>
      <c r="E75" t="s">
        <v>22</v>
      </c>
      <c r="F75" t="s">
        <v>187</v>
      </c>
      <c r="G75" t="s">
        <v>62</v>
      </c>
      <c r="H75">
        <v>72</v>
      </c>
      <c r="I75" t="str">
        <f t="shared" si="1"/>
        <v>Yes</v>
      </c>
    </row>
    <row r="76" spans="1:9" x14ac:dyDescent="0.35">
      <c r="A76" t="s">
        <v>188</v>
      </c>
      <c r="B76" t="s">
        <v>64</v>
      </c>
      <c r="C76" t="s">
        <v>26</v>
      </c>
      <c r="D76" t="s">
        <v>18</v>
      </c>
      <c r="E76" t="s">
        <v>35</v>
      </c>
      <c r="G76" t="s">
        <v>24</v>
      </c>
      <c r="I76" t="str">
        <f t="shared" si="1"/>
        <v>No</v>
      </c>
    </row>
    <row r="77" spans="1:9" x14ac:dyDescent="0.35">
      <c r="A77" t="s">
        <v>189</v>
      </c>
      <c r="B77" t="s">
        <v>38</v>
      </c>
      <c r="C77" t="s">
        <v>26</v>
      </c>
      <c r="D77" t="s">
        <v>11</v>
      </c>
      <c r="E77" t="s">
        <v>190</v>
      </c>
      <c r="F77" t="s">
        <v>191</v>
      </c>
      <c r="G77" t="s">
        <v>62</v>
      </c>
      <c r="H77">
        <v>2</v>
      </c>
      <c r="I77" t="str">
        <f t="shared" si="1"/>
        <v>No</v>
      </c>
    </row>
    <row r="78" spans="1:9" x14ac:dyDescent="0.35">
      <c r="A78" t="s">
        <v>192</v>
      </c>
      <c r="B78" t="s">
        <v>38</v>
      </c>
      <c r="C78" t="s">
        <v>26</v>
      </c>
      <c r="D78" t="s">
        <v>11</v>
      </c>
      <c r="E78" t="s">
        <v>193</v>
      </c>
      <c r="F78" t="s">
        <v>194</v>
      </c>
      <c r="G78" t="s">
        <v>62</v>
      </c>
      <c r="H78">
        <v>8</v>
      </c>
      <c r="I78" t="str">
        <f t="shared" si="1"/>
        <v>No</v>
      </c>
    </row>
    <row r="79" spans="1:9" x14ac:dyDescent="0.35">
      <c r="A79" t="s">
        <v>195</v>
      </c>
      <c r="B79" t="s">
        <v>9</v>
      </c>
      <c r="C79" t="s">
        <v>26</v>
      </c>
      <c r="D79" t="s">
        <v>18</v>
      </c>
      <c r="E79" t="s">
        <v>83</v>
      </c>
      <c r="G79" t="s">
        <v>62</v>
      </c>
      <c r="I79" t="str">
        <f t="shared" si="1"/>
        <v>No</v>
      </c>
    </row>
    <row r="80" spans="1:9" x14ac:dyDescent="0.35">
      <c r="A80" t="s">
        <v>196</v>
      </c>
      <c r="B80" t="s">
        <v>32</v>
      </c>
      <c r="C80" t="s">
        <v>17</v>
      </c>
      <c r="D80" t="s">
        <v>11</v>
      </c>
      <c r="E80" t="s">
        <v>197</v>
      </c>
      <c r="F80" t="s">
        <v>198</v>
      </c>
      <c r="G80" t="s">
        <v>20</v>
      </c>
      <c r="H80">
        <v>2</v>
      </c>
      <c r="I80" t="str">
        <f t="shared" si="1"/>
        <v>No</v>
      </c>
    </row>
    <row r="81" spans="1:9" x14ac:dyDescent="0.35">
      <c r="A81" t="s">
        <v>199</v>
      </c>
      <c r="B81" t="s">
        <v>38</v>
      </c>
      <c r="C81" t="s">
        <v>10</v>
      </c>
      <c r="D81" t="s">
        <v>18</v>
      </c>
      <c r="E81" t="s">
        <v>50</v>
      </c>
      <c r="G81" t="s">
        <v>24</v>
      </c>
      <c r="I81" t="str">
        <f t="shared" si="1"/>
        <v>No</v>
      </c>
    </row>
    <row r="82" spans="1:9" x14ac:dyDescent="0.35">
      <c r="A82" t="s">
        <v>200</v>
      </c>
      <c r="B82" t="s">
        <v>38</v>
      </c>
      <c r="C82" t="s">
        <v>17</v>
      </c>
      <c r="D82" t="s">
        <v>18</v>
      </c>
      <c r="E82" t="s">
        <v>27</v>
      </c>
      <c r="G82" t="s">
        <v>62</v>
      </c>
      <c r="I82" t="str">
        <f t="shared" si="1"/>
        <v>No</v>
      </c>
    </row>
    <row r="83" spans="1:9" x14ac:dyDescent="0.35">
      <c r="A83" t="s">
        <v>201</v>
      </c>
      <c r="B83" t="s">
        <v>32</v>
      </c>
      <c r="C83" t="s">
        <v>17</v>
      </c>
      <c r="D83" t="s">
        <v>18</v>
      </c>
      <c r="E83" t="s">
        <v>22</v>
      </c>
      <c r="G83" t="s">
        <v>14</v>
      </c>
      <c r="I83" t="str">
        <f t="shared" si="1"/>
        <v>No</v>
      </c>
    </row>
    <row r="84" spans="1:9" x14ac:dyDescent="0.35">
      <c r="A84" t="s">
        <v>202</v>
      </c>
      <c r="B84" t="s">
        <v>9</v>
      </c>
      <c r="C84" t="s">
        <v>26</v>
      </c>
      <c r="D84" t="s">
        <v>11</v>
      </c>
      <c r="E84" t="s">
        <v>116</v>
      </c>
      <c r="F84" t="s">
        <v>203</v>
      </c>
      <c r="G84" t="s">
        <v>62</v>
      </c>
      <c r="H84">
        <v>1</v>
      </c>
      <c r="I84" t="str">
        <f t="shared" si="1"/>
        <v>No</v>
      </c>
    </row>
    <row r="85" spans="1:9" x14ac:dyDescent="0.35">
      <c r="A85" t="s">
        <v>204</v>
      </c>
      <c r="B85" t="s">
        <v>9</v>
      </c>
      <c r="C85" t="s">
        <v>10</v>
      </c>
      <c r="D85" t="s">
        <v>11</v>
      </c>
      <c r="E85" t="s">
        <v>72</v>
      </c>
      <c r="F85" t="s">
        <v>205</v>
      </c>
      <c r="G85" t="s">
        <v>14</v>
      </c>
      <c r="H85">
        <v>7</v>
      </c>
      <c r="I85" t="str">
        <f t="shared" si="1"/>
        <v>No</v>
      </c>
    </row>
    <row r="86" spans="1:9" x14ac:dyDescent="0.35">
      <c r="A86" t="s">
        <v>206</v>
      </c>
      <c r="B86" t="s">
        <v>9</v>
      </c>
      <c r="C86" t="s">
        <v>17</v>
      </c>
      <c r="D86" t="s">
        <v>11</v>
      </c>
      <c r="E86" t="s">
        <v>103</v>
      </c>
      <c r="F86" t="s">
        <v>207</v>
      </c>
      <c r="G86" t="s">
        <v>14</v>
      </c>
      <c r="H86">
        <v>41</v>
      </c>
      <c r="I86" t="str">
        <f t="shared" si="1"/>
        <v>Yes</v>
      </c>
    </row>
    <row r="87" spans="1:9" x14ac:dyDescent="0.35">
      <c r="A87" t="s">
        <v>208</v>
      </c>
      <c r="B87" t="s">
        <v>38</v>
      </c>
      <c r="C87" t="s">
        <v>17</v>
      </c>
      <c r="D87" t="s">
        <v>18</v>
      </c>
      <c r="E87" t="s">
        <v>53</v>
      </c>
      <c r="G87" t="s">
        <v>20</v>
      </c>
      <c r="I87" t="str">
        <f t="shared" si="1"/>
        <v>No</v>
      </c>
    </row>
    <row r="88" spans="1:9" x14ac:dyDescent="0.35">
      <c r="A88" t="s">
        <v>209</v>
      </c>
      <c r="B88" t="s">
        <v>16</v>
      </c>
      <c r="C88" t="s">
        <v>10</v>
      </c>
      <c r="D88" t="s">
        <v>11</v>
      </c>
      <c r="E88" t="s">
        <v>134</v>
      </c>
      <c r="F88" t="s">
        <v>210</v>
      </c>
      <c r="G88" t="s">
        <v>20</v>
      </c>
      <c r="H88">
        <v>61</v>
      </c>
      <c r="I88" t="str">
        <f t="shared" si="1"/>
        <v>Yes</v>
      </c>
    </row>
    <row r="89" spans="1:9" x14ac:dyDescent="0.35">
      <c r="A89" t="s">
        <v>211</v>
      </c>
      <c r="B89" t="s">
        <v>38</v>
      </c>
      <c r="C89" t="s">
        <v>26</v>
      </c>
      <c r="D89" t="s">
        <v>11</v>
      </c>
      <c r="E89" t="s">
        <v>159</v>
      </c>
      <c r="F89" t="s">
        <v>101</v>
      </c>
      <c r="G89" t="s">
        <v>14</v>
      </c>
      <c r="H89">
        <v>19</v>
      </c>
      <c r="I89" t="str">
        <f t="shared" si="1"/>
        <v>No</v>
      </c>
    </row>
    <row r="90" spans="1:9" x14ac:dyDescent="0.35">
      <c r="A90" t="s">
        <v>212</v>
      </c>
      <c r="B90" t="s">
        <v>38</v>
      </c>
      <c r="C90" t="s">
        <v>26</v>
      </c>
      <c r="D90" t="s">
        <v>11</v>
      </c>
      <c r="E90" t="s">
        <v>213</v>
      </c>
      <c r="F90" t="s">
        <v>214</v>
      </c>
      <c r="G90" t="s">
        <v>62</v>
      </c>
      <c r="H90">
        <v>64</v>
      </c>
      <c r="I90" t="str">
        <f t="shared" si="1"/>
        <v>Yes</v>
      </c>
    </row>
    <row r="91" spans="1:9" x14ac:dyDescent="0.35">
      <c r="A91" t="s">
        <v>215</v>
      </c>
      <c r="B91" t="s">
        <v>9</v>
      </c>
      <c r="C91" t="s">
        <v>26</v>
      </c>
      <c r="D91" t="s">
        <v>18</v>
      </c>
      <c r="E91" t="s">
        <v>171</v>
      </c>
      <c r="G91" t="s">
        <v>20</v>
      </c>
      <c r="I91" t="str">
        <f t="shared" si="1"/>
        <v>No</v>
      </c>
    </row>
    <row r="92" spans="1:9" x14ac:dyDescent="0.35">
      <c r="A92" t="s">
        <v>216</v>
      </c>
      <c r="B92" t="s">
        <v>32</v>
      </c>
      <c r="C92" t="s">
        <v>26</v>
      </c>
      <c r="D92" t="s">
        <v>11</v>
      </c>
      <c r="E92" t="s">
        <v>85</v>
      </c>
      <c r="F92" t="s">
        <v>217</v>
      </c>
      <c r="G92" t="s">
        <v>14</v>
      </c>
      <c r="H92">
        <v>41</v>
      </c>
      <c r="I92" t="str">
        <f t="shared" si="1"/>
        <v>Yes</v>
      </c>
    </row>
    <row r="93" spans="1:9" x14ac:dyDescent="0.35">
      <c r="A93" t="s">
        <v>218</v>
      </c>
      <c r="B93" t="s">
        <v>38</v>
      </c>
      <c r="C93" t="s">
        <v>26</v>
      </c>
      <c r="D93" t="s">
        <v>11</v>
      </c>
      <c r="E93" t="s">
        <v>219</v>
      </c>
      <c r="F93" t="s">
        <v>220</v>
      </c>
      <c r="G93" t="s">
        <v>20</v>
      </c>
      <c r="H93">
        <v>34</v>
      </c>
      <c r="I93" t="str">
        <f t="shared" si="1"/>
        <v>Yes</v>
      </c>
    </row>
    <row r="94" spans="1:9" x14ac:dyDescent="0.35">
      <c r="A94" t="s">
        <v>221</v>
      </c>
      <c r="B94" t="s">
        <v>64</v>
      </c>
      <c r="C94" t="s">
        <v>17</v>
      </c>
      <c r="D94" t="s">
        <v>11</v>
      </c>
      <c r="E94" t="s">
        <v>116</v>
      </c>
      <c r="F94" t="s">
        <v>222</v>
      </c>
      <c r="G94" t="s">
        <v>62</v>
      </c>
      <c r="H94">
        <v>26</v>
      </c>
      <c r="I94" t="str">
        <f t="shared" si="1"/>
        <v>Yes</v>
      </c>
    </row>
    <row r="95" spans="1:9" x14ac:dyDescent="0.35">
      <c r="A95" t="s">
        <v>223</v>
      </c>
      <c r="B95" t="s">
        <v>16</v>
      </c>
      <c r="C95" t="s">
        <v>17</v>
      </c>
      <c r="D95" t="s">
        <v>11</v>
      </c>
      <c r="E95" t="s">
        <v>224</v>
      </c>
      <c r="F95" t="s">
        <v>225</v>
      </c>
      <c r="G95" t="s">
        <v>20</v>
      </c>
      <c r="H95">
        <v>71</v>
      </c>
      <c r="I95" t="str">
        <f t="shared" si="1"/>
        <v>Yes</v>
      </c>
    </row>
    <row r="96" spans="1:9" x14ac:dyDescent="0.35">
      <c r="A96" t="s">
        <v>226</v>
      </c>
      <c r="B96" t="s">
        <v>16</v>
      </c>
      <c r="C96" t="s">
        <v>26</v>
      </c>
      <c r="D96" t="s">
        <v>11</v>
      </c>
      <c r="E96" t="s">
        <v>108</v>
      </c>
      <c r="F96" t="s">
        <v>227</v>
      </c>
      <c r="G96" t="s">
        <v>20</v>
      </c>
      <c r="H96">
        <v>20</v>
      </c>
      <c r="I96" t="str">
        <f t="shared" si="1"/>
        <v>No</v>
      </c>
    </row>
    <row r="97" spans="1:9" x14ac:dyDescent="0.35">
      <c r="A97" t="s">
        <v>228</v>
      </c>
      <c r="B97" t="s">
        <v>16</v>
      </c>
      <c r="C97" t="s">
        <v>17</v>
      </c>
      <c r="D97" t="s">
        <v>11</v>
      </c>
      <c r="E97" t="s">
        <v>167</v>
      </c>
      <c r="F97" t="s">
        <v>229</v>
      </c>
      <c r="G97" t="s">
        <v>20</v>
      </c>
      <c r="H97">
        <v>50</v>
      </c>
      <c r="I97" t="str">
        <f t="shared" si="1"/>
        <v>Yes</v>
      </c>
    </row>
    <row r="98" spans="1:9" x14ac:dyDescent="0.35">
      <c r="A98" t="s">
        <v>230</v>
      </c>
      <c r="B98" t="s">
        <v>38</v>
      </c>
      <c r="C98" t="s">
        <v>17</v>
      </c>
      <c r="D98" t="s">
        <v>18</v>
      </c>
      <c r="E98" t="s">
        <v>111</v>
      </c>
      <c r="G98" t="s">
        <v>62</v>
      </c>
      <c r="I98" t="str">
        <f t="shared" si="1"/>
        <v>No</v>
      </c>
    </row>
    <row r="99" spans="1:9" x14ac:dyDescent="0.35">
      <c r="A99" t="s">
        <v>231</v>
      </c>
      <c r="B99" t="s">
        <v>16</v>
      </c>
      <c r="C99" t="s">
        <v>10</v>
      </c>
      <c r="D99" t="s">
        <v>18</v>
      </c>
      <c r="E99" t="s">
        <v>232</v>
      </c>
      <c r="G99" t="s">
        <v>20</v>
      </c>
      <c r="I99" t="str">
        <f t="shared" si="1"/>
        <v>No</v>
      </c>
    </row>
    <row r="100" spans="1:9" x14ac:dyDescent="0.35">
      <c r="A100" t="s">
        <v>233</v>
      </c>
      <c r="B100" t="s">
        <v>32</v>
      </c>
      <c r="C100" t="s">
        <v>17</v>
      </c>
      <c r="D100" t="s">
        <v>11</v>
      </c>
      <c r="E100" t="s">
        <v>234</v>
      </c>
      <c r="F100" t="s">
        <v>235</v>
      </c>
      <c r="G100" t="s">
        <v>14</v>
      </c>
      <c r="H100">
        <v>30</v>
      </c>
      <c r="I100" t="str">
        <f t="shared" si="1"/>
        <v>Yes</v>
      </c>
    </row>
    <row r="101" spans="1:9" x14ac:dyDescent="0.35">
      <c r="A101" t="s">
        <v>236</v>
      </c>
      <c r="B101" t="s">
        <v>38</v>
      </c>
      <c r="C101" t="s">
        <v>17</v>
      </c>
      <c r="D101" t="s">
        <v>18</v>
      </c>
      <c r="E101" t="s">
        <v>237</v>
      </c>
      <c r="G101" t="s">
        <v>62</v>
      </c>
      <c r="I101" t="str">
        <f t="shared" si="1"/>
        <v>No</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1F3CB-0C5E-421D-BA58-D98C296AA8E7}">
  <dimension ref="A1:A10"/>
  <sheetViews>
    <sheetView workbookViewId="0">
      <selection activeCell="E28" sqref="E28"/>
    </sheetView>
  </sheetViews>
  <sheetFormatPr defaultRowHeight="17.25" x14ac:dyDescent="0.35"/>
  <cols>
    <col min="1" max="1" width="48.875" customWidth="1"/>
    <col min="2" max="2" width="64.375" customWidth="1"/>
  </cols>
  <sheetData>
    <row r="1" spans="1:1" ht="46.5" customHeight="1" x14ac:dyDescent="0.35">
      <c r="A1" s="4" t="s">
        <v>250</v>
      </c>
    </row>
    <row r="2" spans="1:1" ht="71.25" customHeight="1" x14ac:dyDescent="0.35">
      <c r="A2" s="5"/>
    </row>
    <row r="3" spans="1:1" ht="46.5" customHeight="1" x14ac:dyDescent="0.35"/>
    <row r="4" spans="1:1" ht="46.5" customHeight="1" x14ac:dyDescent="0.35"/>
    <row r="5" spans="1:1" ht="46.5" customHeight="1" x14ac:dyDescent="0.35"/>
    <row r="6" spans="1:1" ht="46.5" customHeight="1" x14ac:dyDescent="0.35"/>
    <row r="7" spans="1:1" ht="46.5" customHeight="1" x14ac:dyDescent="0.35"/>
    <row r="8" spans="1:1" ht="46.5" customHeight="1" x14ac:dyDescent="0.35"/>
    <row r="9" spans="1:1" ht="46.5" customHeight="1" x14ac:dyDescent="0.35"/>
    <row r="10" spans="1:1" ht="46.5" customHeight="1" x14ac:dyDescent="0.35"/>
  </sheetData>
  <mergeCells count="1">
    <mergeCell ref="A1:A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9F38C-1DE6-4080-BEE5-6E97BAA87489}">
  <dimension ref="A3:F14"/>
  <sheetViews>
    <sheetView workbookViewId="0">
      <selection activeCell="E28" sqref="E28"/>
    </sheetView>
  </sheetViews>
  <sheetFormatPr defaultRowHeight="17.25" x14ac:dyDescent="0.35"/>
  <cols>
    <col min="1" max="1" width="14" customWidth="1"/>
    <col min="2" max="2" width="17.375" customWidth="1"/>
    <col min="3" max="3" width="32.75" customWidth="1"/>
  </cols>
  <sheetData>
    <row r="3" spans="1:6" x14ac:dyDescent="0.35">
      <c r="A3" s="1" t="s">
        <v>239</v>
      </c>
      <c r="B3" t="s">
        <v>241</v>
      </c>
      <c r="C3" t="s">
        <v>242</v>
      </c>
    </row>
    <row r="4" spans="1:6" x14ac:dyDescent="0.35">
      <c r="A4" s="2" t="s">
        <v>24</v>
      </c>
      <c r="B4">
        <v>19</v>
      </c>
      <c r="C4">
        <v>38.333333333333336</v>
      </c>
    </row>
    <row r="5" spans="1:6" x14ac:dyDescent="0.35">
      <c r="A5" s="2" t="s">
        <v>14</v>
      </c>
      <c r="B5">
        <v>25</v>
      </c>
      <c r="C5">
        <v>41.611111111111114</v>
      </c>
    </row>
    <row r="6" spans="1:6" x14ac:dyDescent="0.35">
      <c r="A6" s="2" t="s">
        <v>20</v>
      </c>
      <c r="B6">
        <v>28</v>
      </c>
      <c r="C6">
        <v>38.764705882352942</v>
      </c>
    </row>
    <row r="7" spans="1:6" x14ac:dyDescent="0.35">
      <c r="A7" s="2" t="s">
        <v>62</v>
      </c>
      <c r="B7">
        <v>28</v>
      </c>
      <c r="C7">
        <v>40.210526315789473</v>
      </c>
    </row>
    <row r="8" spans="1:6" x14ac:dyDescent="0.35">
      <c r="A8" s="2" t="s">
        <v>240</v>
      </c>
      <c r="B8">
        <v>100</v>
      </c>
      <c r="C8">
        <v>39.952380952380949</v>
      </c>
    </row>
    <row r="10" spans="1:6" x14ac:dyDescent="0.35">
      <c r="A10" s="6" t="s">
        <v>249</v>
      </c>
      <c r="B10" s="7"/>
      <c r="C10" s="7"/>
      <c r="D10" s="7"/>
      <c r="E10" s="7"/>
      <c r="F10" s="7"/>
    </row>
    <row r="11" spans="1:6" x14ac:dyDescent="0.35">
      <c r="A11" s="7"/>
      <c r="B11" s="7"/>
      <c r="C11" s="7"/>
      <c r="D11" s="7"/>
      <c r="E11" s="7"/>
      <c r="F11" s="7"/>
    </row>
    <row r="12" spans="1:6" x14ac:dyDescent="0.35">
      <c r="A12" s="7"/>
      <c r="B12" s="7"/>
      <c r="C12" s="7"/>
      <c r="D12" s="7"/>
      <c r="E12" s="7"/>
      <c r="F12" s="7"/>
    </row>
    <row r="13" spans="1:6" x14ac:dyDescent="0.35">
      <c r="A13" s="7"/>
      <c r="B13" s="7"/>
      <c r="C13" s="7"/>
      <c r="D13" s="7"/>
      <c r="E13" s="7"/>
      <c r="F13" s="7"/>
    </row>
    <row r="14" spans="1:6" ht="101.25" customHeight="1" x14ac:dyDescent="0.35">
      <c r="A14" s="7"/>
      <c r="B14" s="7"/>
      <c r="C14" s="7"/>
      <c r="D14" s="7"/>
      <c r="E14" s="7"/>
      <c r="F14" s="7"/>
    </row>
  </sheetData>
  <mergeCells count="1">
    <mergeCell ref="A10:F14"/>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854E5-C419-4D56-B834-6A2533431B37}">
  <dimension ref="A3:G11"/>
  <sheetViews>
    <sheetView tabSelected="1" workbookViewId="0">
      <selection activeCell="A9" sqref="A9:G11"/>
    </sheetView>
  </sheetViews>
  <sheetFormatPr defaultRowHeight="17.25" x14ac:dyDescent="0.35"/>
  <cols>
    <col min="1" max="1" width="18.125" bestFit="1" customWidth="1"/>
    <col min="2" max="2" width="16" bestFit="1" customWidth="1"/>
    <col min="3" max="3" width="4.625" bestFit="1" customWidth="1"/>
    <col min="4" max="4" width="8" bestFit="1" customWidth="1"/>
    <col min="5" max="5" width="11.75" bestFit="1" customWidth="1"/>
  </cols>
  <sheetData>
    <row r="3" spans="1:7" x14ac:dyDescent="0.35">
      <c r="A3" s="1" t="s">
        <v>241</v>
      </c>
      <c r="B3" s="1" t="s">
        <v>247</v>
      </c>
    </row>
    <row r="4" spans="1:7" x14ac:dyDescent="0.35">
      <c r="A4" s="1" t="s">
        <v>239</v>
      </c>
      <c r="B4" t="s">
        <v>17</v>
      </c>
      <c r="C4" t="s">
        <v>10</v>
      </c>
      <c r="D4" t="s">
        <v>26</v>
      </c>
      <c r="E4" t="s">
        <v>240</v>
      </c>
    </row>
    <row r="5" spans="1:7" x14ac:dyDescent="0.35">
      <c r="A5" s="2" t="s">
        <v>245</v>
      </c>
      <c r="B5" s="9">
        <v>13</v>
      </c>
      <c r="C5" s="9">
        <v>16</v>
      </c>
      <c r="D5" s="9">
        <v>23</v>
      </c>
      <c r="E5" s="9">
        <v>52</v>
      </c>
    </row>
    <row r="6" spans="1:7" x14ac:dyDescent="0.35">
      <c r="A6" s="2" t="s">
        <v>246</v>
      </c>
      <c r="B6" s="9">
        <v>15</v>
      </c>
      <c r="C6" s="9">
        <v>16</v>
      </c>
      <c r="D6" s="9">
        <v>17</v>
      </c>
      <c r="E6" s="9">
        <v>48</v>
      </c>
    </row>
    <row r="7" spans="1:7" x14ac:dyDescent="0.35">
      <c r="A7" s="2" t="s">
        <v>240</v>
      </c>
      <c r="B7" s="9">
        <v>28</v>
      </c>
      <c r="C7" s="9">
        <v>32</v>
      </c>
      <c r="D7" s="9">
        <v>40</v>
      </c>
      <c r="E7" s="9">
        <v>100</v>
      </c>
    </row>
    <row r="9" spans="1:7" x14ac:dyDescent="0.35">
      <c r="A9" s="8" t="s">
        <v>248</v>
      </c>
      <c r="B9" s="3"/>
      <c r="C9" s="3"/>
      <c r="D9" s="3"/>
      <c r="E9" s="3"/>
      <c r="F9" s="3"/>
      <c r="G9" s="3"/>
    </row>
    <row r="10" spans="1:7" x14ac:dyDescent="0.35">
      <c r="A10" s="3"/>
      <c r="B10" s="3"/>
      <c r="C10" s="3"/>
      <c r="D10" s="3"/>
      <c r="E10" s="3"/>
      <c r="F10" s="3"/>
      <c r="G10" s="3"/>
    </row>
    <row r="11" spans="1:7" ht="76.5" customHeight="1" x14ac:dyDescent="0.35">
      <c r="A11" s="3"/>
      <c r="B11" s="3"/>
      <c r="C11" s="3"/>
      <c r="D11" s="3"/>
      <c r="E11" s="3"/>
      <c r="F11" s="3"/>
      <c r="G11" s="3"/>
    </row>
  </sheetData>
  <mergeCells count="1">
    <mergeCell ref="A9:G11"/>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5E0E5-D0C2-480F-88F3-A3CF019B978C}">
  <dimension ref="A1:B12"/>
  <sheetViews>
    <sheetView workbookViewId="0">
      <selection activeCell="E28" sqref="E28"/>
    </sheetView>
  </sheetViews>
  <sheetFormatPr defaultRowHeight="17.25" x14ac:dyDescent="0.35"/>
  <cols>
    <col min="1" max="1" width="13.125" bestFit="1" customWidth="1"/>
    <col min="2" max="2" width="18.125" bestFit="1" customWidth="1"/>
  </cols>
  <sheetData>
    <row r="1" spans="1:2" x14ac:dyDescent="0.35">
      <c r="A1" s="1" t="s">
        <v>239</v>
      </c>
      <c r="B1" t="s">
        <v>241</v>
      </c>
    </row>
    <row r="2" spans="1:2" x14ac:dyDescent="0.35">
      <c r="A2" s="2" t="s">
        <v>32</v>
      </c>
      <c r="B2" s="9">
        <v>20</v>
      </c>
    </row>
    <row r="3" spans="1:2" x14ac:dyDescent="0.35">
      <c r="A3" s="2" t="s">
        <v>16</v>
      </c>
      <c r="B3" s="9">
        <v>13</v>
      </c>
    </row>
    <row r="4" spans="1:2" x14ac:dyDescent="0.35">
      <c r="A4" s="2" t="s">
        <v>64</v>
      </c>
      <c r="B4" s="9">
        <v>11</v>
      </c>
    </row>
    <row r="5" spans="1:2" x14ac:dyDescent="0.35">
      <c r="A5" s="2" t="s">
        <v>38</v>
      </c>
      <c r="B5" s="9">
        <v>34</v>
      </c>
    </row>
    <row r="6" spans="1:2" x14ac:dyDescent="0.35">
      <c r="A6" s="2" t="s">
        <v>9</v>
      </c>
      <c r="B6" s="9">
        <v>22</v>
      </c>
    </row>
    <row r="7" spans="1:2" x14ac:dyDescent="0.35">
      <c r="A7" s="2" t="s">
        <v>240</v>
      </c>
      <c r="B7" s="9">
        <v>100</v>
      </c>
    </row>
    <row r="12" spans="1:2" x14ac:dyDescent="0.35">
      <c r="A12" s="3" t="s">
        <v>243</v>
      </c>
      <c r="B12" s="3"/>
    </row>
  </sheetData>
  <mergeCells count="1">
    <mergeCell ref="A12:B12"/>
  </mergeCells>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B4E56-9CBC-418F-A506-33C1E4016AFE}">
  <dimension ref="A3:D15"/>
  <sheetViews>
    <sheetView workbookViewId="0">
      <selection activeCell="E28" sqref="E28"/>
    </sheetView>
  </sheetViews>
  <sheetFormatPr defaultRowHeight="17.25" x14ac:dyDescent="0.35"/>
  <cols>
    <col min="1" max="1" width="13.125" bestFit="1" customWidth="1"/>
    <col min="2" max="2" width="33" bestFit="1" customWidth="1"/>
    <col min="3" max="3" width="26.5" customWidth="1"/>
    <col min="4" max="4" width="41.375" customWidth="1"/>
  </cols>
  <sheetData>
    <row r="3" spans="1:4" x14ac:dyDescent="0.35">
      <c r="A3" s="1" t="s">
        <v>239</v>
      </c>
      <c r="B3" t="s">
        <v>242</v>
      </c>
    </row>
    <row r="4" spans="1:4" x14ac:dyDescent="0.35">
      <c r="A4" s="2" t="s">
        <v>32</v>
      </c>
      <c r="B4" s="9">
        <v>36.733333333333334</v>
      </c>
    </row>
    <row r="5" spans="1:4" x14ac:dyDescent="0.35">
      <c r="A5" s="2" t="s">
        <v>16</v>
      </c>
      <c r="B5" s="9">
        <v>43.666666666666664</v>
      </c>
    </row>
    <row r="6" spans="1:4" x14ac:dyDescent="0.35">
      <c r="A6" s="2" t="s">
        <v>64</v>
      </c>
      <c r="B6" s="9">
        <v>39</v>
      </c>
    </row>
    <row r="7" spans="1:4" x14ac:dyDescent="0.35">
      <c r="A7" s="2" t="s">
        <v>38</v>
      </c>
      <c r="B7" s="9">
        <v>43.142857142857146</v>
      </c>
    </row>
    <row r="8" spans="1:4" x14ac:dyDescent="0.35">
      <c r="A8" s="2" t="s">
        <v>9</v>
      </c>
      <c r="B8" s="9">
        <v>36.5</v>
      </c>
    </row>
    <row r="9" spans="1:4" x14ac:dyDescent="0.35">
      <c r="A9" s="2" t="s">
        <v>240</v>
      </c>
      <c r="B9" s="9">
        <v>39.952380952380949</v>
      </c>
    </row>
    <row r="15" spans="1:4" x14ac:dyDescent="0.35">
      <c r="A15" s="3" t="s">
        <v>244</v>
      </c>
      <c r="B15" s="3"/>
      <c r="C15" s="3"/>
      <c r="D15" s="3"/>
    </row>
  </sheetData>
  <mergeCells count="1">
    <mergeCell ref="A15:D15"/>
  </mergeCell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Jira_Tickets</vt:lpstr>
      <vt:lpstr>WorkDone</vt:lpstr>
      <vt:lpstr>Team Workload Imbalance</vt:lpstr>
      <vt:lpstr>SLA Breach Analysis</vt:lpstr>
      <vt:lpstr>Ticket Count by Category</vt:lpstr>
      <vt:lpstr>Average Resolution Time by Cate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Syed Hassan Ahmed</cp:lastModifiedBy>
  <dcterms:created xsi:type="dcterms:W3CDTF">2026-04-16T20:28:16Z</dcterms:created>
  <dcterms:modified xsi:type="dcterms:W3CDTF">2026-04-20T23:50:52Z</dcterms:modified>
</cp:coreProperties>
</file>